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Rubric" sheetId="2" r:id="rId6"/>
    <sheet state="visible" name="Tracker" sheetId="3" r:id="rId7"/>
    <sheet state="visible" name="Content" sheetId="4" r:id="rId8"/>
    <sheet state="visible" name="Collections" sheetId="5" r:id="rId9"/>
  </sheets>
  <definedNames>
    <definedName hidden="1" localSheetId="2" name="_xlnm._FilterDatabase">Tracker!$A$3:$AK$63</definedName>
  </definedNames>
  <calcPr/>
</workbook>
</file>

<file path=xl/sharedStrings.xml><?xml version="1.0" encoding="utf-8"?>
<sst xmlns="http://schemas.openxmlformats.org/spreadsheetml/2006/main" count="211" uniqueCount="188">
  <si>
    <t>Shopee Affiliate — Product Vetting Scorecard &amp; Tracker</t>
  </si>
  <si>
    <t>Scoring Rubric — every number below is editable</t>
  </si>
  <si>
    <t>Product Tracker — paste research into the yellow columns (A–X); grey columns (Y–AK) calculate</t>
  </si>
  <si>
    <t>Listing Copy — product names pull from the Tracker automatically</t>
  </si>
  <si>
    <t>Built to your spec. Fill the yellow cells; grey cells calculate themselves.</t>
  </si>
  <si>
    <t>SECTION 1 — HARD GATES (fail any one and the product is rejected)</t>
  </si>
  <si>
    <t>HOW TO USE</t>
  </si>
  <si>
    <t>1. Research on Shopee yourself (or export from your Affiliate dashboard). This file does not pull live data.</t>
  </si>
  <si>
    <t>Criterion</t>
  </si>
  <si>
    <t>2. Paste one product per row into the Tracker tab, columns A-X (yellow).</t>
  </si>
  <si>
    <t>Short title hard-capped at 60 characters — column D flags anything over.</t>
  </si>
  <si>
    <t>3. Column Y auto-runs the HARD GATES. 'FAIL' means the product breaks one of your minimums - drop it.</t>
  </si>
  <si>
    <t>Threshold</t>
  </si>
  <si>
    <t>4. Columns Z-AK auto-score every product out of 100 and rank the survivors.</t>
  </si>
  <si>
    <t>YOUR RESEARCH  →  columns A to X</t>
  </si>
  <si>
    <t>5. Write your listing copy on the Content tab. Product names pull across automatically.</t>
  </si>
  <si>
    <t>Points</t>
  </si>
  <si>
    <t>6. Collections tab shows a live count per collection so you can see which ones are thin.</t>
  </si>
  <si>
    <t>Product Name (auto)</t>
  </si>
  <si>
    <t>Minimum units sold</t>
  </si>
  <si>
    <t>THE FIVE HARD GATES (all must pass)</t>
  </si>
  <si>
    <t>Short Title (max 60 chars)</t>
  </si>
  <si>
    <t>Units sold &gt;= 5,000  |  Rating &gt;= 4.8  |  Reviews &gt;= 500  |  In stock = Yes  |  Seller is Mall / Preferred Plus / Preferred</t>
  </si>
  <si>
    <t>AUTO-SCORING  →  columns Y to AK</t>
  </si>
  <si>
    <t>Change any threshold on the Rubric tab and every row re-scores instantly.</t>
  </si>
  <si>
    <t>Chars</t>
  </si>
  <si>
    <t>THE 100-POINT SCORE</t>
  </si>
  <si>
    <t>Title Check</t>
  </si>
  <si>
    <t>Short Description</t>
  </si>
  <si>
    <t>Minimum star rating</t>
  </si>
  <si>
    <t>Product Name</t>
  </si>
  <si>
    <t>Sales volume 25  +  Rating 15  +  Seller type 15  +  Reviews 10  +  Discount depth 10  +  Promo stack 10  +  Value for money 10  +  Store rating 5</t>
  </si>
  <si>
    <t>Product Link</t>
  </si>
  <si>
    <t>Selling Point 1</t>
  </si>
  <si>
    <t>Then risk deductions: stock risk -5, many recent negative reviews -10.</t>
  </si>
  <si>
    <t>Affiliate Link</t>
  </si>
  <si>
    <t>PRIORITY TIERS</t>
  </si>
  <si>
    <t>Category</t>
  </si>
  <si>
    <t>Selling Point 2</t>
  </si>
  <si>
    <t>Subcategory</t>
  </si>
  <si>
    <t>Brand</t>
  </si>
  <si>
    <t>Minimum number of reviews</t>
  </si>
  <si>
    <t>Selling Point 3</t>
  </si>
  <si>
    <t>Current Price</t>
  </si>
  <si>
    <t>Original Price</t>
  </si>
  <si>
    <t>Selling Point 4</t>
  </si>
  <si>
    <t>80-100  Tier A - Feature it (homepage, Best Sellers, paid promo)</t>
  </si>
  <si>
    <t>Must be in stock</t>
  </si>
  <si>
    <t>65-79   Tier B - Include it in the relevant collection</t>
  </si>
  <si>
    <t>Selling Point 5</t>
  </si>
  <si>
    <t>Yes</t>
  </si>
  <si>
    <t>50-64   Tier C - Watchlist only; revisit if the promo improves</t>
  </si>
  <si>
    <t>Discount %</t>
  </si>
  <si>
    <t>0-49    Reject</t>
  </si>
  <si>
    <t>Call to Action</t>
  </si>
  <si>
    <t>Units Sold</t>
  </si>
  <si>
    <t>COLOUR LEGEND</t>
  </si>
  <si>
    <t>Rating</t>
  </si>
  <si>
    <t>Images Ready (Main / Lifestyle / Close-up)</t>
  </si>
  <si>
    <t>Seller must be one of</t>
  </si>
  <si>
    <t>Reviews</t>
  </si>
  <si>
    <t>Collection(s)</t>
  </si>
  <si>
    <t>Shopee Mall / Preferred Plus / Preferred</t>
  </si>
  <si>
    <t>Seller Name</t>
  </si>
  <si>
    <t>YELLOW  =  you type here</t>
  </si>
  <si>
    <t>GREY    =  formula, leave alone</t>
  </si>
  <si>
    <t>Seller Type</t>
  </si>
  <si>
    <t>Status</t>
  </si>
  <si>
    <t>BLUE TEXT = an assumption you can change (Rubric tab only)</t>
  </si>
  <si>
    <t>Store Rating</t>
  </si>
  <si>
    <t>SECTION 2 — WEIGHT OF EACH COMPONENT (reference only)</t>
  </si>
  <si>
    <t>IMPORTANT - ABOUT THE EXAMPLE ROW</t>
  </si>
  <si>
    <t>Has Voucher</t>
  </si>
  <si>
    <t>Promo Type</t>
  </si>
  <si>
    <t>Free Shipping</t>
  </si>
  <si>
    <t>Component</t>
  </si>
  <si>
    <t>In Stock</t>
  </si>
  <si>
    <t>Tracker row 4 and Content row 4 contain a worked EXAMPLE with invented placeholder numbers.</t>
  </si>
  <si>
    <t>Stock Risk</t>
  </si>
  <si>
    <t>Max Points</t>
  </si>
  <si>
    <t>They are there to show the expected format only. They are NOT real Shopee listing data.</t>
  </si>
  <si>
    <t>Recent Neg. Reviews</t>
  </si>
  <si>
    <t>Delete row 4 on both tabs before you use this for real.</t>
  </si>
  <si>
    <t>Sales volume</t>
  </si>
  <si>
    <t>Value for Money 1-5</t>
  </si>
  <si>
    <t>DAILY REFRESH</t>
  </si>
  <si>
    <t>Key Features</t>
  </si>
  <si>
    <t>Main Benefits</t>
  </si>
  <si>
    <t>GATE</t>
  </si>
  <si>
    <t>Star rating</t>
  </si>
  <si>
    <t>Sales pts</t>
  </si>
  <si>
    <t>Re-check price, discount and stock daily - Shopee promos rotate constantly and a stale price kills trust.</t>
  </si>
  <si>
    <t>Rating pts</t>
  </si>
  <si>
    <t>Any product whose gate flips to FAIL, or whose score drops below 65, should come off the store.</t>
  </si>
  <si>
    <t>Review pts</t>
  </si>
  <si>
    <t>Seller type</t>
  </si>
  <si>
    <t>Seller pts</t>
  </si>
  <si>
    <t>Store pts</t>
  </si>
  <si>
    <t>Discount pts</t>
  </si>
  <si>
    <t>Number of reviews</t>
  </si>
  <si>
    <t>Promo pts</t>
  </si>
  <si>
    <t>Value pts</t>
  </si>
  <si>
    <t>Risk deduct</t>
  </si>
  <si>
    <t>Discount depth</t>
  </si>
  <si>
    <t>TOTAL SCORE</t>
  </si>
  <si>
    <t>20W USB-C Fast Charger with Cable Support</t>
  </si>
  <si>
    <t>Priority Tier</t>
  </si>
  <si>
    <t>Rank</t>
  </si>
  <si>
    <t>Promo stack</t>
  </si>
  <si>
    <t>[EXAMPLE — delete this row] 20W USB-C Fast Charger</t>
  </si>
  <si>
    <t>https://shopee.ph/product/000000000/0000000000</t>
  </si>
  <si>
    <t>https://s.shopee.ph/XXXXXXXX</t>
  </si>
  <si>
    <t>Value for money</t>
  </si>
  <si>
    <t>Store rating</t>
  </si>
  <si>
    <t>Electronics</t>
  </si>
  <si>
    <t>Chargers</t>
  </si>
  <si>
    <t>Sample Brand</t>
  </si>
  <si>
    <t>TOTAL</t>
  </si>
  <si>
    <t>SECTION 3 — TIER TABLES (thresholds must stay in ascending order)</t>
  </si>
  <si>
    <t>Sales volume — units sold</t>
  </si>
  <si>
    <t>Charge your phone in a fraction of the time with this compact 20W USB-C charger. Built for commuters and desk setups where every minute counts.</t>
  </si>
  <si>
    <t>20W PD fast charging</t>
  </si>
  <si>
    <t>At least</t>
  </si>
  <si>
    <t>Sample Official Store</t>
  </si>
  <si>
    <t>Pocket-sized build</t>
  </si>
  <si>
    <t>Safe-charge protection</t>
  </si>
  <si>
    <t>Shopee Mall</t>
  </si>
  <si>
    <t>Works with iPhone and Android</t>
  </si>
  <si>
    <t>Strong value under ₱300</t>
  </si>
  <si>
    <t>Discount only</t>
  </si>
  <si>
    <t>Shop Now</t>
  </si>
  <si>
    <t>Main + Lifestyle</t>
  </si>
  <si>
    <t>Electronics; Best Sellers; Under ₱499</t>
  </si>
  <si>
    <t>No</t>
  </si>
  <si>
    <t>Draft</t>
  </si>
  <si>
    <t>20W PD output; USB-C port; over-current protection; compact body</t>
  </si>
  <si>
    <t>Charges a phone to ~50% in about 30 min; small enough for a pocket</t>
  </si>
  <si>
    <t>Seller type — exact match</t>
  </si>
  <si>
    <t>Normal Seller</t>
  </si>
  <si>
    <t>Preferred</t>
  </si>
  <si>
    <t>Preferred Plus</t>
  </si>
  <si>
    <t>Collections — live count of gate-passing products</t>
  </si>
  <si>
    <t>Collection</t>
  </si>
  <si>
    <t>Assignment rule</t>
  </si>
  <si>
    <t>Products</t>
  </si>
  <si>
    <t>Best Sellers</t>
  </si>
  <si>
    <t>10,000+ units sold</t>
  </si>
  <si>
    <t>Promo stack — these add together</t>
  </si>
  <si>
    <t>Bonus</t>
  </si>
  <si>
    <t>Trending Today</t>
  </si>
  <si>
    <t>Hand-picked — tag in Content column M</t>
  </si>
  <si>
    <t>Store voucher available</t>
  </si>
  <si>
    <t>Free shipping included</t>
  </si>
  <si>
    <t>Category = Electronics</t>
  </si>
  <si>
    <t>Buy 1 Take 1 or better</t>
  </si>
  <si>
    <t>Value for money — your 1-5 judgement</t>
  </si>
  <si>
    <t>Home Essentials</t>
  </si>
  <si>
    <t>Category = Home &amp; Living</t>
  </si>
  <si>
    <t>Points per star</t>
  </si>
  <si>
    <t>Multiplier</t>
  </si>
  <si>
    <t>Beauty Picks</t>
  </si>
  <si>
    <t>Category = Health &amp; Beauty</t>
  </si>
  <si>
    <t>SECTION 4 — RISK DEDUCTIONS (enter as negative numbers)</t>
  </si>
  <si>
    <t>Risk flag</t>
  </si>
  <si>
    <t>Kitchen Finds</t>
  </si>
  <si>
    <t>Subcategory contains 'Kitchen'</t>
  </si>
  <si>
    <t>Stock risk / limited inventory</t>
  </si>
  <si>
    <t>Many recent negative reviews</t>
  </si>
  <si>
    <t>Pet Essentials</t>
  </si>
  <si>
    <t>Category = Pet Supplies</t>
  </si>
  <si>
    <t>SECTION 5 — PRIORITY TIERS</t>
  </si>
  <si>
    <t>Budget Deals</t>
  </si>
  <si>
    <t>Score at least</t>
  </si>
  <si>
    <t>Discount 30% or more</t>
  </si>
  <si>
    <t>Tier</t>
  </si>
  <si>
    <t>Reject</t>
  </si>
  <si>
    <t>Under ₱199</t>
  </si>
  <si>
    <t>Current price ≤ ₱199</t>
  </si>
  <si>
    <t>Tier C — Watchlist</t>
  </si>
  <si>
    <t>Under ₱499</t>
  </si>
  <si>
    <t>Current price ₱200–₱499</t>
  </si>
  <si>
    <t>Tier B — Include</t>
  </si>
  <si>
    <t>Tier A — Feature</t>
  </si>
  <si>
    <t>All weights and thresholds above were set by Claude from the criteria you supplied; none are Shopee-published figures. Adjust freely — the Tracker re-scores on the fly.</t>
  </si>
  <si>
    <t>Premium Picks</t>
  </si>
  <si>
    <t>Price over ₱999 and score ≥ 80</t>
  </si>
  <si>
    <t>Counts include the example row until you delete Tracker row 4.</t>
  </si>
  <si>
    <t>A collection showing 0–2 products is too thin to publish — go research that category next.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</si>
</sst>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₱#,##0.00"/>
    <numFmt numFmtId="165" formatCode="0.0%"/>
    <numFmt numFmtId="166" formatCode="0.0"/>
  </numFmts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sz val="10.0"/>
      <color rgb="FF0000FF"/>
      <name val="Arial"/>
    </font>
    <font>
      <sz val="11.0"/>
      <color theme="1"/>
      <name val="Calibri"/>
    </font>
    <font>
      <i/>
      <sz val="10.0"/>
      <color rgb="FF7F7F7F"/>
      <name val="Arial"/>
    </font>
    <font>
      <b/>
      <sz val="10.0"/>
      <color theme="1"/>
      <name val="Arial"/>
    </font>
    <font>
      <b/>
      <i/>
      <sz val="10.0"/>
      <color rgb="FF7F7F7F"/>
      <name val="Arial"/>
    </font>
    <font>
      <b/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C8A"/>
        <bgColor rgb="FF2E5C8A"/>
      </patternFill>
    </fill>
    <fill>
      <patternFill patternType="solid">
        <fgColor rgb="FF44546A"/>
        <bgColor rgb="FF44546A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DCE6F1"/>
        <bgColor rgb="FFDCE6F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4" fontId="6" numFmtId="0" xfId="0" applyAlignment="1" applyBorder="1" applyFill="1" applyFont="1">
      <alignment horizontal="center" shrinkToFit="0" vertical="bottom" wrapText="0"/>
    </xf>
    <xf borderId="4" fillId="4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bottom" wrapText="0"/>
    </xf>
    <xf borderId="4" fillId="5" fontId="7" numFmtId="3" xfId="0" applyAlignment="1" applyBorder="1" applyFill="1" applyFont="1" applyNumberFormat="1">
      <alignment horizontal="center"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5" fontId="7" numFmtId="2" xfId="0" applyAlignment="1" applyBorder="1" applyFont="1" applyNumberFormat="1">
      <alignment horizontal="center" shrinkToFit="0" vertical="bottom" wrapText="0"/>
    </xf>
    <xf borderId="4" fillId="5" fontId="7" numFmtId="0" xfId="0" applyAlignment="1" applyBorder="1" applyFont="1">
      <alignment horizontal="center" shrinkToFit="0" vertical="bottom" wrapText="0"/>
    </xf>
    <xf borderId="4" fillId="5" fontId="7" numFmtId="1" xfId="0" applyAlignment="1" applyBorder="1" applyFont="1" applyNumberFormat="1">
      <alignment horizontal="center" shrinkToFit="0" vertical="bottom" wrapText="0"/>
    </xf>
    <xf borderId="4" fillId="6" fontId="9" numFmtId="0" xfId="0" applyAlignment="1" applyBorder="1" applyFill="1" applyFont="1">
      <alignment shrinkToFit="0" vertical="top" wrapText="1"/>
    </xf>
    <xf borderId="4" fillId="5" fontId="9" numFmtId="0" xfId="0" applyAlignment="1" applyBorder="1" applyFont="1">
      <alignment shrinkToFit="0" vertical="top" wrapText="0"/>
    </xf>
    <xf borderId="4" fillId="7" fontId="10" numFmtId="0" xfId="0" applyAlignment="1" applyBorder="1" applyFill="1" applyFont="1">
      <alignment shrinkToFit="0" vertical="bottom" wrapText="0"/>
    </xf>
    <xf borderId="4" fillId="5" fontId="9" numFmtId="164" xfId="0" applyAlignment="1" applyBorder="1" applyFont="1" applyNumberFormat="1">
      <alignment shrinkToFit="0" vertical="top" wrapText="0"/>
    </xf>
    <xf borderId="4" fillId="6" fontId="9" numFmtId="1" xfId="0" applyAlignment="1" applyBorder="1" applyFont="1" applyNumberFormat="1">
      <alignment horizontal="center" shrinkToFit="0" vertical="bottom" wrapText="0"/>
    </xf>
    <xf borderId="4" fillId="7" fontId="8" numFmtId="0" xfId="0" applyAlignment="1" applyBorder="1" applyFont="1">
      <alignment shrinkToFit="0" vertical="bottom" wrapText="0"/>
    </xf>
    <xf borderId="4" fillId="7" fontId="10" numFmtId="1" xfId="0" applyAlignment="1" applyBorder="1" applyFont="1" applyNumberFormat="1">
      <alignment horizontal="center" shrinkToFit="0" vertical="bottom" wrapText="0"/>
    </xf>
    <xf borderId="4" fillId="6" fontId="9" numFmtId="165" xfId="0" applyAlignment="1" applyBorder="1" applyFont="1" applyNumberFormat="1">
      <alignment horizontal="center" shrinkToFit="0" vertical="bottom" wrapText="0"/>
    </xf>
    <xf borderId="4" fillId="6" fontId="9" numFmtId="0" xfId="0" applyAlignment="1" applyBorder="1" applyFont="1">
      <alignment horizontal="center" shrinkToFit="0" vertical="bottom" wrapText="0"/>
    </xf>
    <xf borderId="4" fillId="5" fontId="9" numFmtId="3" xfId="0" applyAlignment="1" applyBorder="1" applyFont="1" applyNumberFormat="1">
      <alignment shrinkToFit="0" vertical="top" wrapText="0"/>
    </xf>
    <xf borderId="0" fillId="0" fontId="10" numFmtId="0" xfId="0" applyAlignment="1" applyFont="1">
      <alignment shrinkToFit="0" vertical="bottom" wrapText="0"/>
    </xf>
    <xf borderId="4" fillId="5" fontId="9" numFmtId="0" xfId="0" applyAlignment="1" applyBorder="1" applyFont="1">
      <alignment shrinkToFit="0" vertical="top" wrapText="1"/>
    </xf>
    <xf borderId="4" fillId="5" fontId="9" numFmtId="2" xfId="0" applyAlignment="1" applyBorder="1" applyFont="1" applyNumberFormat="1">
      <alignment shrinkToFit="0" vertical="top" wrapText="0"/>
    </xf>
    <xf borderId="4" fillId="5" fontId="7" numFmtId="166" xfId="0" applyAlignment="1" applyBorder="1" applyFont="1" applyNumberFormat="1">
      <alignment horizontal="center" shrinkToFit="0" vertical="bottom" wrapText="0"/>
    </xf>
    <xf borderId="4" fillId="6" fontId="5" numFmtId="0" xfId="0" applyAlignment="1" applyBorder="1" applyFont="1">
      <alignment shrinkToFit="0" vertical="top" wrapText="1"/>
    </xf>
    <xf borderId="4" fillId="5" fontId="5" numFmtId="0" xfId="0" applyAlignment="1" applyBorder="1" applyFont="1">
      <alignment shrinkToFit="0" vertical="top" wrapText="0"/>
    </xf>
    <xf borderId="4" fillId="6" fontId="5" numFmtId="1" xfId="0" applyAlignment="1" applyBorder="1" applyFont="1" applyNumberFormat="1">
      <alignment horizontal="center" shrinkToFit="0" vertical="bottom" wrapText="0"/>
    </xf>
    <xf borderId="4" fillId="6" fontId="5" numFmtId="0" xfId="0" applyAlignment="1" applyBorder="1" applyFont="1">
      <alignment horizontal="center" shrinkToFit="0" vertical="bottom" wrapText="0"/>
    </xf>
    <xf borderId="4" fillId="6" fontId="9" numFmtId="0" xfId="0" applyAlignment="1" applyBorder="1" applyFont="1">
      <alignment horizontal="center" shrinkToFit="0" vertical="center" wrapText="0"/>
    </xf>
    <xf borderId="4" fillId="5" fontId="5" numFmtId="0" xfId="0" applyAlignment="1" applyBorder="1" applyFont="1">
      <alignment shrinkToFit="0" vertical="top" wrapText="1"/>
    </xf>
    <xf borderId="4" fillId="6" fontId="9" numFmtId="166" xfId="0" applyAlignment="1" applyBorder="1" applyFont="1" applyNumberFormat="1">
      <alignment horizontal="center" shrinkToFit="0" vertical="center" wrapText="0"/>
    </xf>
    <xf borderId="4" fillId="5" fontId="7" numFmtId="9" xfId="0" applyAlignment="1" applyBorder="1" applyFont="1" applyNumberFormat="1">
      <alignment horizontal="center" shrinkToFit="0" vertical="bottom" wrapText="0"/>
    </xf>
    <xf borderId="4" fillId="6" fontId="11" numFmtId="166" xfId="0" applyAlignment="1" applyBorder="1" applyFont="1" applyNumberFormat="1">
      <alignment horizontal="center" shrinkToFit="0" vertical="center" wrapText="0"/>
    </xf>
    <xf borderId="4" fillId="0" fontId="10" numFmtId="0" xfId="0" applyAlignment="1" applyBorder="1" applyFont="1">
      <alignment shrinkToFit="0" vertical="bottom" wrapText="0"/>
    </xf>
    <xf borderId="4" fillId="6" fontId="9" numFmtId="1" xfId="0" applyAlignment="1" applyBorder="1" applyFont="1" applyNumberFormat="1">
      <alignment horizontal="center" shrinkToFit="0" vertical="center" wrapText="0"/>
    </xf>
    <xf borderId="4" fillId="5" fontId="5" numFmtId="164" xfId="0" applyAlignment="1" applyBorder="1" applyFont="1" applyNumberFormat="1">
      <alignment shrinkToFit="0" vertical="top" wrapText="0"/>
    </xf>
    <xf borderId="4" fillId="6" fontId="5" numFmtId="165" xfId="0" applyAlignment="1" applyBorder="1" applyFont="1" applyNumberFormat="1">
      <alignment horizontal="center" shrinkToFit="0" vertical="bottom" wrapText="0"/>
    </xf>
    <xf borderId="4" fillId="5" fontId="5" numFmtId="3" xfId="0" applyAlignment="1" applyBorder="1" applyFont="1" applyNumberFormat="1">
      <alignment shrinkToFit="0" vertical="top" wrapText="0"/>
    </xf>
    <xf borderId="4" fillId="5" fontId="5" numFmtId="2" xfId="0" applyAlignment="1" applyBorder="1" applyFont="1" applyNumberFormat="1">
      <alignment shrinkToFit="0" vertical="top" wrapText="0"/>
    </xf>
    <xf borderId="4" fillId="6" fontId="5" numFmtId="0" xfId="0" applyAlignment="1" applyBorder="1" applyFont="1">
      <alignment horizontal="center" shrinkToFit="0" vertical="center" wrapText="0"/>
    </xf>
    <xf borderId="4" fillId="6" fontId="5" numFmtId="166" xfId="0" applyAlignment="1" applyBorder="1" applyFont="1" applyNumberFormat="1">
      <alignment horizontal="center" shrinkToFit="0" vertical="center" wrapText="0"/>
    </xf>
    <xf borderId="4" fillId="6" fontId="12" numFmtId="166" xfId="0" applyAlignment="1" applyBorder="1" applyFont="1" applyNumberFormat="1">
      <alignment horizontal="center" shrinkToFit="0" vertical="center" wrapText="0"/>
    </xf>
    <xf borderId="4" fillId="6" fontId="5" numFmtId="1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8.0"/>
    <col customWidth="1" min="2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4</v>
      </c>
    </row>
    <row r="4">
      <c r="A4" s="5" t="s">
        <v>6</v>
      </c>
      <c r="B4" s="2"/>
      <c r="C4" s="2"/>
      <c r="D4" s="2"/>
      <c r="E4" s="2"/>
      <c r="F4" s="2"/>
      <c r="G4" s="2"/>
      <c r="H4" s="3"/>
    </row>
    <row r="5">
      <c r="A5" s="6" t="s">
        <v>7</v>
      </c>
    </row>
    <row r="6">
      <c r="A6" s="6" t="s">
        <v>9</v>
      </c>
    </row>
    <row r="7">
      <c r="A7" s="6" t="s">
        <v>11</v>
      </c>
    </row>
    <row r="8">
      <c r="A8" s="6" t="s">
        <v>13</v>
      </c>
    </row>
    <row r="9">
      <c r="A9" s="6" t="s">
        <v>15</v>
      </c>
    </row>
    <row r="10">
      <c r="A10" s="6" t="s">
        <v>17</v>
      </c>
    </row>
    <row r="12">
      <c r="A12" s="5" t="s">
        <v>20</v>
      </c>
      <c r="B12" s="2"/>
      <c r="C12" s="2"/>
      <c r="D12" s="2"/>
      <c r="E12" s="2"/>
      <c r="F12" s="2"/>
      <c r="G12" s="2"/>
      <c r="H12" s="3"/>
    </row>
    <row r="13">
      <c r="A13" s="6" t="s">
        <v>22</v>
      </c>
    </row>
    <row r="14">
      <c r="A14" s="4" t="s">
        <v>24</v>
      </c>
    </row>
    <row r="16">
      <c r="A16" s="5" t="s">
        <v>26</v>
      </c>
      <c r="B16" s="2"/>
      <c r="C16" s="2"/>
      <c r="D16" s="2"/>
      <c r="E16" s="2"/>
      <c r="F16" s="2"/>
      <c r="G16" s="2"/>
      <c r="H16" s="3"/>
    </row>
    <row r="17">
      <c r="A17" s="6" t="s">
        <v>31</v>
      </c>
    </row>
    <row r="18">
      <c r="A18" s="6" t="s">
        <v>34</v>
      </c>
    </row>
    <row r="20">
      <c r="A20" s="5" t="s">
        <v>36</v>
      </c>
      <c r="B20" s="2"/>
      <c r="C20" s="2"/>
      <c r="D20" s="2"/>
      <c r="E20" s="2"/>
      <c r="F20" s="2"/>
      <c r="G20" s="2"/>
      <c r="H20" s="3"/>
    </row>
    <row r="21" ht="15.75" customHeight="1">
      <c r="A21" s="6" t="s">
        <v>46</v>
      </c>
    </row>
    <row r="22" ht="15.75" customHeight="1">
      <c r="A22" s="6" t="s">
        <v>48</v>
      </c>
    </row>
    <row r="23" ht="15.75" customHeight="1">
      <c r="A23" s="6" t="s">
        <v>51</v>
      </c>
    </row>
    <row r="24" ht="15.75" customHeight="1">
      <c r="A24" s="6" t="s">
        <v>53</v>
      </c>
    </row>
    <row r="25" ht="15.75" customHeight="1"/>
    <row r="26" ht="15.75" customHeight="1">
      <c r="A26" s="5" t="s">
        <v>56</v>
      </c>
      <c r="B26" s="2"/>
      <c r="C26" s="2"/>
      <c r="D26" s="2"/>
      <c r="E26" s="2"/>
      <c r="F26" s="2"/>
      <c r="G26" s="2"/>
      <c r="H26" s="3"/>
    </row>
    <row r="27" ht="15.75" customHeight="1">
      <c r="A27" s="6" t="s">
        <v>64</v>
      </c>
    </row>
    <row r="28" ht="15.75" customHeight="1">
      <c r="A28" s="6" t="s">
        <v>65</v>
      </c>
    </row>
    <row r="29" ht="15.75" customHeight="1">
      <c r="A29" s="6" t="s">
        <v>68</v>
      </c>
    </row>
    <row r="30" ht="15.75" customHeight="1"/>
    <row r="31" ht="15.75" customHeight="1">
      <c r="A31" s="5" t="s">
        <v>71</v>
      </c>
      <c r="B31" s="2"/>
      <c r="C31" s="2"/>
      <c r="D31" s="2"/>
      <c r="E31" s="2"/>
      <c r="F31" s="2"/>
      <c r="G31" s="2"/>
      <c r="H31" s="3"/>
    </row>
    <row r="32" ht="15.75" customHeight="1">
      <c r="A32" s="6" t="s">
        <v>77</v>
      </c>
    </row>
    <row r="33" ht="15.75" customHeight="1">
      <c r="A33" s="6" t="s">
        <v>80</v>
      </c>
    </row>
    <row r="34" ht="15.75" customHeight="1">
      <c r="A34" s="6" t="s">
        <v>82</v>
      </c>
    </row>
    <row r="35" ht="15.75" customHeight="1"/>
    <row r="36" ht="15.75" customHeight="1">
      <c r="A36" s="5" t="s">
        <v>85</v>
      </c>
      <c r="B36" s="2"/>
      <c r="C36" s="2"/>
      <c r="D36" s="2"/>
      <c r="E36" s="2"/>
      <c r="F36" s="2"/>
      <c r="G36" s="2"/>
      <c r="H36" s="3"/>
    </row>
    <row r="37" ht="15.75" customHeight="1">
      <c r="A37" s="6" t="s">
        <v>91</v>
      </c>
    </row>
    <row r="38" ht="15.75" customHeight="1">
      <c r="A38" s="6" t="s">
        <v>93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1"/>
    <mergeCell ref="A4:H4"/>
    <mergeCell ref="A12:H12"/>
    <mergeCell ref="A16:H16"/>
    <mergeCell ref="A20:H20"/>
    <mergeCell ref="A26:H26"/>
    <mergeCell ref="A31:H31"/>
    <mergeCell ref="A36:H3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36.0"/>
    <col customWidth="1" min="3" max="3" width="18.0"/>
    <col customWidth="1" min="4" max="26" width="8.71"/>
  </cols>
  <sheetData>
    <row r="1" ht="24.0" customHeight="1">
      <c r="A1" s="1" t="s">
        <v>1</v>
      </c>
      <c r="B1" s="2"/>
      <c r="C1" s="3"/>
    </row>
    <row r="3">
      <c r="A3" s="5" t="s">
        <v>5</v>
      </c>
      <c r="B3" s="2"/>
      <c r="C3" s="3"/>
    </row>
    <row r="4">
      <c r="A4" s="7" t="s">
        <v>8</v>
      </c>
      <c r="B4" s="7" t="s">
        <v>12</v>
      </c>
      <c r="C4" s="7" t="s">
        <v>16</v>
      </c>
    </row>
    <row r="5">
      <c r="A5" s="9" t="s">
        <v>19</v>
      </c>
      <c r="B5" s="10">
        <v>5000.0</v>
      </c>
      <c r="C5" s="11"/>
    </row>
    <row r="6">
      <c r="A6" s="9" t="s">
        <v>29</v>
      </c>
      <c r="B6" s="12">
        <v>4.8</v>
      </c>
      <c r="C6" s="11"/>
    </row>
    <row r="7">
      <c r="A7" s="9" t="s">
        <v>41</v>
      </c>
      <c r="B7" s="10">
        <v>500.0</v>
      </c>
      <c r="C7" s="11"/>
    </row>
    <row r="8">
      <c r="A8" s="9" t="s">
        <v>47</v>
      </c>
      <c r="B8" s="13" t="s">
        <v>50</v>
      </c>
      <c r="C8" s="11"/>
    </row>
    <row r="9">
      <c r="A9" s="9" t="s">
        <v>59</v>
      </c>
      <c r="B9" s="13" t="s">
        <v>62</v>
      </c>
      <c r="C9" s="11"/>
    </row>
    <row r="11">
      <c r="A11" s="5" t="s">
        <v>70</v>
      </c>
      <c r="B11" s="2"/>
      <c r="C11" s="3"/>
    </row>
    <row r="12">
      <c r="A12" s="7" t="s">
        <v>75</v>
      </c>
      <c r="B12" s="7"/>
      <c r="C12" s="7" t="s">
        <v>79</v>
      </c>
    </row>
    <row r="13">
      <c r="A13" s="9" t="s">
        <v>83</v>
      </c>
      <c r="B13" s="11"/>
      <c r="C13" s="14">
        <v>25.0</v>
      </c>
    </row>
    <row r="14">
      <c r="A14" s="9" t="s">
        <v>89</v>
      </c>
      <c r="B14" s="11"/>
      <c r="C14" s="14">
        <v>15.0</v>
      </c>
    </row>
    <row r="15">
      <c r="A15" s="9" t="s">
        <v>95</v>
      </c>
      <c r="B15" s="11"/>
      <c r="C15" s="14">
        <v>15.0</v>
      </c>
    </row>
    <row r="16">
      <c r="A16" s="9" t="s">
        <v>99</v>
      </c>
      <c r="B16" s="11"/>
      <c r="C16" s="14">
        <v>10.0</v>
      </c>
    </row>
    <row r="17">
      <c r="A17" s="9" t="s">
        <v>103</v>
      </c>
      <c r="B17" s="11"/>
      <c r="C17" s="14">
        <v>10.0</v>
      </c>
    </row>
    <row r="18">
      <c r="A18" s="9" t="s">
        <v>108</v>
      </c>
      <c r="B18" s="11"/>
      <c r="C18" s="14">
        <v>10.0</v>
      </c>
    </row>
    <row r="19">
      <c r="A19" s="9" t="s">
        <v>112</v>
      </c>
      <c r="B19" s="11"/>
      <c r="C19" s="14">
        <v>10.0</v>
      </c>
    </row>
    <row r="20">
      <c r="A20" s="9" t="s">
        <v>113</v>
      </c>
      <c r="B20" s="11"/>
      <c r="C20" s="14">
        <v>5.0</v>
      </c>
    </row>
    <row r="21" ht="15.75" customHeight="1">
      <c r="A21" s="17" t="s">
        <v>117</v>
      </c>
      <c r="B21" s="20"/>
      <c r="C21" s="21">
        <f>SUM(C13:C20)</f>
        <v>100</v>
      </c>
    </row>
    <row r="22" ht="15.75" customHeight="1"/>
    <row r="23" ht="15.75" customHeight="1">
      <c r="A23" s="5" t="s">
        <v>118</v>
      </c>
      <c r="B23" s="2"/>
      <c r="C23" s="3"/>
    </row>
    <row r="24" ht="15.75" customHeight="1">
      <c r="A24" s="25" t="s">
        <v>119</v>
      </c>
    </row>
    <row r="25" ht="15.75" customHeight="1">
      <c r="A25" s="7"/>
      <c r="B25" s="7" t="s">
        <v>122</v>
      </c>
      <c r="C25" s="7" t="s">
        <v>16</v>
      </c>
    </row>
    <row r="26" ht="15.75" customHeight="1">
      <c r="A26" s="9"/>
      <c r="B26" s="10">
        <v>0.0</v>
      </c>
      <c r="C26" s="28">
        <v>0.0</v>
      </c>
    </row>
    <row r="27" ht="15.75" customHeight="1">
      <c r="A27" s="9"/>
      <c r="B27" s="10">
        <v>5000.0</v>
      </c>
      <c r="C27" s="28">
        <v>12.0</v>
      </c>
    </row>
    <row r="28" ht="15.75" customHeight="1">
      <c r="A28" s="9"/>
      <c r="B28" s="10">
        <v>10000.0</v>
      </c>
      <c r="C28" s="28">
        <v>17.0</v>
      </c>
    </row>
    <row r="29" ht="15.75" customHeight="1">
      <c r="A29" s="9"/>
      <c r="B29" s="10">
        <v>25000.0</v>
      </c>
      <c r="C29" s="28">
        <v>21.0</v>
      </c>
    </row>
    <row r="30" ht="15.75" customHeight="1">
      <c r="A30" s="9"/>
      <c r="B30" s="10">
        <v>50000.0</v>
      </c>
      <c r="C30" s="28">
        <v>25.0</v>
      </c>
    </row>
    <row r="31" ht="15.75" customHeight="1"/>
    <row r="32" ht="15.75" customHeight="1">
      <c r="A32" s="25" t="s">
        <v>89</v>
      </c>
    </row>
    <row r="33" ht="15.75" customHeight="1">
      <c r="A33" s="7"/>
      <c r="B33" s="7" t="s">
        <v>122</v>
      </c>
      <c r="C33" s="7" t="s">
        <v>16</v>
      </c>
    </row>
    <row r="34" ht="15.75" customHeight="1">
      <c r="A34" s="9"/>
      <c r="B34" s="12">
        <v>0.0</v>
      </c>
      <c r="C34" s="28">
        <v>0.0</v>
      </c>
    </row>
    <row r="35" ht="15.75" customHeight="1">
      <c r="A35" s="9"/>
      <c r="B35" s="12">
        <v>4.8</v>
      </c>
      <c r="C35" s="28">
        <v>9.0</v>
      </c>
    </row>
    <row r="36" ht="15.75" customHeight="1">
      <c r="A36" s="9"/>
      <c r="B36" s="12">
        <v>4.85</v>
      </c>
      <c r="C36" s="28">
        <v>12.0</v>
      </c>
    </row>
    <row r="37" ht="15.75" customHeight="1">
      <c r="A37" s="9"/>
      <c r="B37" s="12">
        <v>4.9</v>
      </c>
      <c r="C37" s="28">
        <v>15.0</v>
      </c>
    </row>
    <row r="38" ht="15.75" customHeight="1"/>
    <row r="39" ht="15.75" customHeight="1">
      <c r="A39" s="25" t="s">
        <v>99</v>
      </c>
    </row>
    <row r="40" ht="15.75" customHeight="1">
      <c r="A40" s="7"/>
      <c r="B40" s="7" t="s">
        <v>122</v>
      </c>
      <c r="C40" s="7" t="s">
        <v>16</v>
      </c>
    </row>
    <row r="41" ht="15.75" customHeight="1">
      <c r="A41" s="9"/>
      <c r="B41" s="10">
        <v>0.0</v>
      </c>
      <c r="C41" s="28">
        <v>0.0</v>
      </c>
    </row>
    <row r="42" ht="15.75" customHeight="1">
      <c r="A42" s="9"/>
      <c r="B42" s="10">
        <v>500.0</v>
      </c>
      <c r="C42" s="28">
        <v>5.0</v>
      </c>
    </row>
    <row r="43" ht="15.75" customHeight="1">
      <c r="A43" s="9"/>
      <c r="B43" s="10">
        <v>1000.0</v>
      </c>
      <c r="C43" s="28">
        <v>7.0</v>
      </c>
    </row>
    <row r="44" ht="15.75" customHeight="1">
      <c r="A44" s="9"/>
      <c r="B44" s="10">
        <v>5000.0</v>
      </c>
      <c r="C44" s="28">
        <v>9.0</v>
      </c>
    </row>
    <row r="45" ht="15.75" customHeight="1">
      <c r="A45" s="9"/>
      <c r="B45" s="10">
        <v>10000.0</v>
      </c>
      <c r="C45" s="28">
        <v>10.0</v>
      </c>
    </row>
    <row r="46" ht="15.75" customHeight="1"/>
    <row r="47" ht="15.75" customHeight="1">
      <c r="A47" s="25" t="s">
        <v>137</v>
      </c>
    </row>
    <row r="48" ht="15.75" customHeight="1">
      <c r="A48" s="7"/>
      <c r="B48" s="7" t="s">
        <v>95</v>
      </c>
      <c r="C48" s="7" t="s">
        <v>16</v>
      </c>
    </row>
    <row r="49" ht="15.75" customHeight="1">
      <c r="A49" s="9"/>
      <c r="B49" s="13" t="s">
        <v>138</v>
      </c>
      <c r="C49" s="28">
        <v>0.0</v>
      </c>
    </row>
    <row r="50" ht="15.75" customHeight="1">
      <c r="A50" s="9"/>
      <c r="B50" s="13" t="s">
        <v>139</v>
      </c>
      <c r="C50" s="28">
        <v>10.0</v>
      </c>
    </row>
    <row r="51" ht="15.75" customHeight="1">
      <c r="A51" s="9"/>
      <c r="B51" s="13" t="s">
        <v>140</v>
      </c>
      <c r="C51" s="28">
        <v>13.0</v>
      </c>
    </row>
    <row r="52" ht="15.75" customHeight="1">
      <c r="A52" s="9"/>
      <c r="B52" s="13" t="s">
        <v>126</v>
      </c>
      <c r="C52" s="28">
        <v>15.0</v>
      </c>
    </row>
    <row r="53" ht="15.75" customHeight="1"/>
    <row r="54" ht="15.75" customHeight="1">
      <c r="A54" s="25" t="s">
        <v>113</v>
      </c>
    </row>
    <row r="55" ht="15.75" customHeight="1">
      <c r="A55" s="7"/>
      <c r="B55" s="7" t="s">
        <v>122</v>
      </c>
      <c r="C55" s="7" t="s">
        <v>16</v>
      </c>
    </row>
    <row r="56" ht="15.75" customHeight="1">
      <c r="A56" s="9"/>
      <c r="B56" s="12">
        <v>0.0</v>
      </c>
      <c r="C56" s="28">
        <v>0.0</v>
      </c>
    </row>
    <row r="57" ht="15.75" customHeight="1">
      <c r="A57" s="9"/>
      <c r="B57" s="12">
        <v>4.5</v>
      </c>
      <c r="C57" s="28">
        <v>2.0</v>
      </c>
    </row>
    <row r="58" ht="15.75" customHeight="1">
      <c r="A58" s="9"/>
      <c r="B58" s="12">
        <v>4.7</v>
      </c>
      <c r="C58" s="28">
        <v>3.5</v>
      </c>
    </row>
    <row r="59" ht="15.75" customHeight="1">
      <c r="A59" s="9"/>
      <c r="B59" s="12">
        <v>4.9</v>
      </c>
      <c r="C59" s="28">
        <v>5.0</v>
      </c>
    </row>
    <row r="60" ht="15.75" customHeight="1"/>
    <row r="61" ht="15.75" customHeight="1">
      <c r="A61" s="25" t="s">
        <v>103</v>
      </c>
    </row>
    <row r="62" ht="15.75" customHeight="1">
      <c r="A62" s="7"/>
      <c r="B62" s="7" t="s">
        <v>122</v>
      </c>
      <c r="C62" s="7" t="s">
        <v>16</v>
      </c>
    </row>
    <row r="63" ht="15.75" customHeight="1">
      <c r="A63" s="9"/>
      <c r="B63" s="36">
        <v>0.0</v>
      </c>
      <c r="C63" s="28">
        <v>0.0</v>
      </c>
    </row>
    <row r="64" ht="15.75" customHeight="1">
      <c r="A64" s="9"/>
      <c r="B64" s="36">
        <v>0.1</v>
      </c>
      <c r="C64" s="28">
        <v>3.0</v>
      </c>
    </row>
    <row r="65" ht="15.75" customHeight="1">
      <c r="A65" s="9"/>
      <c r="B65" s="36">
        <v>0.2</v>
      </c>
      <c r="C65" s="28">
        <v>5.0</v>
      </c>
    </row>
    <row r="66" ht="15.75" customHeight="1">
      <c r="A66" s="9"/>
      <c r="B66" s="36">
        <v>0.3</v>
      </c>
      <c r="C66" s="28">
        <v>7.0</v>
      </c>
    </row>
    <row r="67" ht="15.75" customHeight="1">
      <c r="A67" s="9"/>
      <c r="B67" s="36">
        <v>0.5</v>
      </c>
      <c r="C67" s="28">
        <v>10.0</v>
      </c>
    </row>
    <row r="68" ht="15.75" customHeight="1"/>
    <row r="69" ht="15.75" customHeight="1">
      <c r="A69" s="25" t="s">
        <v>147</v>
      </c>
    </row>
    <row r="70" ht="15.75" customHeight="1">
      <c r="A70" s="7" t="s">
        <v>148</v>
      </c>
      <c r="B70" s="7"/>
      <c r="C70" s="7" t="s">
        <v>16</v>
      </c>
    </row>
    <row r="71" ht="15.75" customHeight="1">
      <c r="A71" s="9" t="s">
        <v>151</v>
      </c>
      <c r="B71" s="11"/>
      <c r="C71" s="14">
        <v>3.0</v>
      </c>
    </row>
    <row r="72" ht="15.75" customHeight="1">
      <c r="A72" s="9" t="s">
        <v>152</v>
      </c>
      <c r="B72" s="11"/>
      <c r="C72" s="14">
        <v>3.0</v>
      </c>
    </row>
    <row r="73" ht="15.75" customHeight="1">
      <c r="A73" s="9" t="s">
        <v>154</v>
      </c>
      <c r="B73" s="11"/>
      <c r="C73" s="14">
        <v>4.0</v>
      </c>
    </row>
    <row r="74" ht="15.75" customHeight="1"/>
    <row r="75" ht="15.75" customHeight="1">
      <c r="A75" s="25" t="s">
        <v>155</v>
      </c>
    </row>
    <row r="76" ht="15.75" customHeight="1">
      <c r="A76" s="7"/>
      <c r="B76" s="7"/>
      <c r="C76" s="7" t="s">
        <v>158</v>
      </c>
    </row>
    <row r="77" ht="15.75" customHeight="1">
      <c r="A77" s="9" t="s">
        <v>159</v>
      </c>
      <c r="B77" s="11"/>
      <c r="C77" s="14">
        <v>2.0</v>
      </c>
    </row>
    <row r="78" ht="15.75" customHeight="1"/>
    <row r="79" ht="15.75" customHeight="1">
      <c r="A79" s="5" t="s">
        <v>162</v>
      </c>
      <c r="B79" s="2"/>
      <c r="C79" s="3"/>
    </row>
    <row r="80" ht="15.75" customHeight="1">
      <c r="A80" s="7" t="s">
        <v>163</v>
      </c>
      <c r="B80" s="7"/>
      <c r="C80" s="7" t="s">
        <v>16</v>
      </c>
    </row>
    <row r="81" ht="15.75" customHeight="1">
      <c r="A81" s="9" t="s">
        <v>166</v>
      </c>
      <c r="B81" s="11"/>
      <c r="C81" s="14">
        <v>-5.0</v>
      </c>
    </row>
    <row r="82" ht="15.75" customHeight="1">
      <c r="A82" s="9" t="s">
        <v>167</v>
      </c>
      <c r="B82" s="11"/>
      <c r="C82" s="14">
        <v>-10.0</v>
      </c>
    </row>
    <row r="83" ht="15.75" customHeight="1"/>
    <row r="84" ht="15.75" customHeight="1">
      <c r="A84" s="5" t="s">
        <v>170</v>
      </c>
      <c r="B84" s="2"/>
      <c r="C84" s="3"/>
    </row>
    <row r="85" ht="15.75" customHeight="1">
      <c r="A85" s="7"/>
      <c r="B85" s="7" t="s">
        <v>172</v>
      </c>
      <c r="C85" s="7" t="s">
        <v>174</v>
      </c>
    </row>
    <row r="86" ht="15.75" customHeight="1">
      <c r="A86" s="9"/>
      <c r="B86" s="14">
        <v>0.0</v>
      </c>
      <c r="C86" s="13" t="s">
        <v>175</v>
      </c>
    </row>
    <row r="87" ht="15.75" customHeight="1">
      <c r="A87" s="9"/>
      <c r="B87" s="14">
        <v>50.0</v>
      </c>
      <c r="C87" s="13" t="s">
        <v>178</v>
      </c>
    </row>
    <row r="88" ht="15.75" customHeight="1">
      <c r="A88" s="9"/>
      <c r="B88" s="14">
        <v>65.0</v>
      </c>
      <c r="C88" s="13" t="s">
        <v>181</v>
      </c>
    </row>
    <row r="89" ht="15.75" customHeight="1">
      <c r="A89" s="9"/>
      <c r="B89" s="14">
        <v>80.0</v>
      </c>
      <c r="C89" s="13" t="s">
        <v>182</v>
      </c>
    </row>
    <row r="90" ht="15.75" customHeight="1"/>
    <row r="91" ht="15.75" customHeight="1">
      <c r="A91" s="4" t="s">
        <v>183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A3:C3"/>
    <mergeCell ref="A11:C11"/>
    <mergeCell ref="A23:C23"/>
    <mergeCell ref="A79:C79"/>
    <mergeCell ref="A84:C84"/>
    <mergeCell ref="A91:C9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4.0"/>
    <col customWidth="1" min="2" max="3" width="30.0"/>
    <col customWidth="1" min="4" max="5" width="16.0"/>
    <col customWidth="1" min="6" max="6" width="14.0"/>
    <col customWidth="1" min="7" max="8" width="13.0"/>
    <col customWidth="1" min="9" max="9" width="11.0"/>
    <col customWidth="1" min="10" max="10" width="12.0"/>
    <col customWidth="1" min="11" max="11" width="9.0"/>
    <col customWidth="1" min="12" max="12" width="11.0"/>
    <col customWidth="1" min="13" max="13" width="24.0"/>
    <col customWidth="1" min="14" max="14" width="15.0"/>
    <col customWidth="1" min="15" max="16" width="12.0"/>
    <col customWidth="1" min="17" max="17" width="20.0"/>
    <col customWidth="1" min="18" max="18" width="13.0"/>
    <col customWidth="1" min="19" max="19" width="10.0"/>
    <col customWidth="1" min="20" max="20" width="11.0"/>
    <col customWidth="1" min="21" max="22" width="18.0"/>
    <col customWidth="1" min="23" max="24" width="36.0"/>
    <col customWidth="1" min="25" max="25" width="12.0"/>
    <col customWidth="1" min="26" max="30" width="10.0"/>
    <col customWidth="1" min="31" max="31" width="11.0"/>
    <col customWidth="1" min="32" max="33" width="10.0"/>
    <col customWidth="1" min="34" max="34" width="11.0"/>
    <col customWidth="1" min="35" max="35" width="13.0"/>
    <col customWidth="1" min="36" max="36" width="22.0"/>
    <col customWidth="1" min="37" max="37" width="8.0"/>
  </cols>
  <sheetData>
    <row r="1" ht="24.0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>
      <c r="A2" s="5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5" t="s">
        <v>23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31.5" customHeight="1">
      <c r="A3" s="8" t="s">
        <v>30</v>
      </c>
      <c r="B3" s="8" t="s">
        <v>32</v>
      </c>
      <c r="C3" s="8" t="s">
        <v>35</v>
      </c>
      <c r="D3" s="8" t="s">
        <v>37</v>
      </c>
      <c r="E3" s="8" t="s">
        <v>39</v>
      </c>
      <c r="F3" s="8" t="s">
        <v>40</v>
      </c>
      <c r="G3" s="8" t="s">
        <v>43</v>
      </c>
      <c r="H3" s="8" t="s">
        <v>44</v>
      </c>
      <c r="I3" s="8" t="s">
        <v>52</v>
      </c>
      <c r="J3" s="8" t="s">
        <v>55</v>
      </c>
      <c r="K3" s="8" t="s">
        <v>57</v>
      </c>
      <c r="L3" s="8" t="s">
        <v>60</v>
      </c>
      <c r="M3" s="8" t="s">
        <v>63</v>
      </c>
      <c r="N3" s="8" t="s">
        <v>66</v>
      </c>
      <c r="O3" s="8" t="s">
        <v>69</v>
      </c>
      <c r="P3" s="8" t="s">
        <v>72</v>
      </c>
      <c r="Q3" s="8" t="s">
        <v>73</v>
      </c>
      <c r="R3" s="8" t="s">
        <v>74</v>
      </c>
      <c r="S3" s="8" t="s">
        <v>76</v>
      </c>
      <c r="T3" s="8" t="s">
        <v>78</v>
      </c>
      <c r="U3" s="8" t="s">
        <v>81</v>
      </c>
      <c r="V3" s="8" t="s">
        <v>84</v>
      </c>
      <c r="W3" s="8" t="s">
        <v>86</v>
      </c>
      <c r="X3" s="8" t="s">
        <v>87</v>
      </c>
      <c r="Y3" s="8" t="s">
        <v>88</v>
      </c>
      <c r="Z3" s="8" t="s">
        <v>90</v>
      </c>
      <c r="AA3" s="8" t="s">
        <v>92</v>
      </c>
      <c r="AB3" s="8" t="s">
        <v>94</v>
      </c>
      <c r="AC3" s="8" t="s">
        <v>96</v>
      </c>
      <c r="AD3" s="8" t="s">
        <v>97</v>
      </c>
      <c r="AE3" s="8" t="s">
        <v>98</v>
      </c>
      <c r="AF3" s="8" t="s">
        <v>100</v>
      </c>
      <c r="AG3" s="8" t="s">
        <v>101</v>
      </c>
      <c r="AH3" s="8" t="s">
        <v>102</v>
      </c>
      <c r="AI3" s="8" t="s">
        <v>104</v>
      </c>
      <c r="AJ3" s="8" t="s">
        <v>106</v>
      </c>
      <c r="AK3" s="8" t="s">
        <v>107</v>
      </c>
    </row>
    <row r="4">
      <c r="A4" s="16" t="s">
        <v>109</v>
      </c>
      <c r="B4" s="16" t="s">
        <v>110</v>
      </c>
      <c r="C4" s="16" t="s">
        <v>111</v>
      </c>
      <c r="D4" s="16" t="s">
        <v>114</v>
      </c>
      <c r="E4" s="16" t="s">
        <v>115</v>
      </c>
      <c r="F4" s="16" t="s">
        <v>116</v>
      </c>
      <c r="G4" s="18">
        <v>249.0</v>
      </c>
      <c r="H4" s="18">
        <v>499.0</v>
      </c>
      <c r="I4" s="22">
        <f t="shared" ref="I4:I63" si="1">IF($A4="","",IF($H4=0,0,1-$G4/$H4))</f>
        <v>0.501002004</v>
      </c>
      <c r="J4" s="24">
        <v>18500.0</v>
      </c>
      <c r="K4" s="27">
        <v>4.9</v>
      </c>
      <c r="L4" s="24">
        <v>3200.0</v>
      </c>
      <c r="M4" s="16" t="s">
        <v>123</v>
      </c>
      <c r="N4" s="16" t="s">
        <v>126</v>
      </c>
      <c r="O4" s="27">
        <v>4.9</v>
      </c>
      <c r="P4" s="16" t="s">
        <v>50</v>
      </c>
      <c r="Q4" s="16" t="s">
        <v>129</v>
      </c>
      <c r="R4" s="16" t="s">
        <v>50</v>
      </c>
      <c r="S4" s="16" t="s">
        <v>50</v>
      </c>
      <c r="T4" s="16" t="s">
        <v>133</v>
      </c>
      <c r="U4" s="16" t="s">
        <v>133</v>
      </c>
      <c r="V4" s="16">
        <v>5.0</v>
      </c>
      <c r="W4" s="26" t="s">
        <v>135</v>
      </c>
      <c r="X4" s="26" t="s">
        <v>136</v>
      </c>
      <c r="Y4" s="33" t="str">
        <f>IF($A4="","",IF(AND($J4&gt;=Rubric!$B$5,$K4&gt;=Rubric!$B$6,$L4&gt;=Rubric!$B$7,$S4=Rubric!$B$8,OR($N4="Shopee Mall",$N4="Preferred Plus",$N4="Preferred")),"PASS","FAIL"))</f>
        <v>PASS</v>
      </c>
      <c r="Z4" s="35">
        <f t="array" ref="Z4">IF($A4="","",IFERROR(INDEX(Rubric!$C$26:$C$30,MATCH($J4,Rubric!$B$26:$B$30,1)),0))</f>
        <v>17</v>
      </c>
      <c r="AA4" s="35">
        <f t="array" ref="AA4">IF($A4="","",IFERROR(INDEX(Rubric!$C$34:$C$37,MATCH($K4,Rubric!$B$34:$B$37,1)),0))</f>
        <v>15</v>
      </c>
      <c r="AB4" s="35">
        <f t="array" ref="AB4">IF($A4="","",IFERROR(INDEX(Rubric!$C$41:$C$45,MATCH($L4,Rubric!$B$41:$B$45,1)),0))</f>
        <v>7</v>
      </c>
      <c r="AC4" s="35">
        <f t="array" ref="AC4">IF($A4="","",IFERROR(INDEX(Rubric!$C$49:$C$52,MATCH($N4,Rubric!$B$49:$B$52,0)),0))</f>
        <v>15</v>
      </c>
      <c r="AD4" s="35">
        <f t="array" ref="AD4">IF($A4="","",IFERROR(INDEX(Rubric!$C$56:$C$59,MATCH($O4,Rubric!$B$56:$B$59,1)),0))</f>
        <v>5</v>
      </c>
      <c r="AE4" s="35">
        <f t="array" ref="AE4">IF($A4="","",IFERROR(INDEX(Rubric!$C$63:$C$67,MATCH($I4,Rubric!$B$63:$B$67,1)),0))</f>
        <v>10</v>
      </c>
      <c r="AF4" s="35">
        <f>IF($A4="","",IF($P4="Yes",Rubric!$C$71,0)+IF($R4="Yes",Rubric!$C$72,0)+IF($Q4="Buy 1 Take 1 or better",Rubric!$C$73,0))</f>
        <v>6</v>
      </c>
      <c r="AG4" s="35">
        <f>IF($A4="","",IFERROR($V4*Rubric!$C$77,0))</f>
        <v>10</v>
      </c>
      <c r="AH4" s="35">
        <f>IF($A4="","",IF($T4="Yes",Rubric!$C$81,0)+IF($U4="Yes",Rubric!$C$82,0))</f>
        <v>0</v>
      </c>
      <c r="AI4" s="37">
        <f t="shared" ref="AI4:AI63" si="2">IF($A4="","",IF($Y4="FAIL",0,MAX(0,SUM($Z4:$AG4)+$AH4)))</f>
        <v>85</v>
      </c>
      <c r="AJ4" s="33" t="str">
        <f t="array" ref="AJ4">IF($A4="","",IF($Y4="FAIL","Rejected — failed gate",IFERROR(INDEX(Rubric!$C$86:$C$89,MATCH($AI4,Rubric!$B$86:$B$89,1)),"")))</f>
        <v>Tier A — Feature</v>
      </c>
      <c r="AK4" s="39">
        <f t="shared" ref="AK4:AK63" si="3">IF($Y4&lt;&gt;"PASS","",COUNTIFS($Y$4:$Y$63,"PASS",$AI$4:$AI$63,"&gt;"&amp;$AI4)+1)</f>
        <v>1</v>
      </c>
    </row>
    <row r="5">
      <c r="A5" s="30"/>
      <c r="B5" s="30"/>
      <c r="C5" s="30"/>
      <c r="D5" s="30"/>
      <c r="E5" s="30"/>
      <c r="F5" s="30"/>
      <c r="G5" s="40"/>
      <c r="H5" s="40"/>
      <c r="I5" s="41" t="str">
        <f t="shared" si="1"/>
        <v/>
      </c>
      <c r="J5" s="42"/>
      <c r="K5" s="43"/>
      <c r="L5" s="42"/>
      <c r="M5" s="30"/>
      <c r="N5" s="30"/>
      <c r="O5" s="43"/>
      <c r="P5" s="30"/>
      <c r="Q5" s="30"/>
      <c r="R5" s="30"/>
      <c r="S5" s="30"/>
      <c r="T5" s="30"/>
      <c r="U5" s="30"/>
      <c r="V5" s="30"/>
      <c r="W5" s="34"/>
      <c r="X5" s="34"/>
      <c r="Y5" s="44" t="str">
        <f>IF($A5="","",IF(AND($J5&gt;=Rubric!$B$5,$K5&gt;=Rubric!$B$6,$L5&gt;=Rubric!$B$7,$S5=Rubric!$B$8,OR($N5="Shopee Mall",$N5="Preferred Plus",$N5="Preferred")),"PASS","FAIL"))</f>
        <v/>
      </c>
      <c r="Z5" s="45" t="str">
        <f t="array" ref="Z5">IF($A5="","",IFERROR(INDEX(Rubric!$C$26:$C$30,MATCH($J5,Rubric!$B$26:$B$30,1)),0))</f>
        <v/>
      </c>
      <c r="AA5" s="45" t="str">
        <f t="array" ref="AA5">IF($A5="","",IFERROR(INDEX(Rubric!$C$34:$C$37,MATCH($K5,Rubric!$B$34:$B$37,1)),0))</f>
        <v/>
      </c>
      <c r="AB5" s="45" t="str">
        <f t="array" ref="AB5">IF($A5="","",IFERROR(INDEX(Rubric!$C$41:$C$45,MATCH($L5,Rubric!$B$41:$B$45,1)),0))</f>
        <v/>
      </c>
      <c r="AC5" s="45" t="str">
        <f t="array" ref="AC5">IF($A5="","",IFERROR(INDEX(Rubric!$C$49:$C$52,MATCH($N5,Rubric!$B$49:$B$52,0)),0))</f>
        <v/>
      </c>
      <c r="AD5" s="45" t="str">
        <f t="array" ref="AD5">IF($A5="","",IFERROR(INDEX(Rubric!$C$56:$C$59,MATCH($O5,Rubric!$B$56:$B$59,1)),0))</f>
        <v/>
      </c>
      <c r="AE5" s="45" t="str">
        <f t="array" ref="AE5">IF($A5="","",IFERROR(INDEX(Rubric!$C$63:$C$67,MATCH($I5,Rubric!$B$63:$B$67,1)),0))</f>
        <v/>
      </c>
      <c r="AF5" s="45" t="str">
        <f>IF($A5="","",IF($P5="Yes",Rubric!$C$71,0)+IF($R5="Yes",Rubric!$C$72,0)+IF($Q5="Buy 1 Take 1 or better",Rubric!$C$73,0))</f>
        <v/>
      </c>
      <c r="AG5" s="45" t="str">
        <f>IF($A5="","",IFERROR($V5*Rubric!$C$77,0))</f>
        <v/>
      </c>
      <c r="AH5" s="45" t="str">
        <f>IF($A5="","",IF($T5="Yes",Rubric!$C$81,0)+IF($U5="Yes",Rubric!$C$82,0))</f>
        <v/>
      </c>
      <c r="AI5" s="46" t="str">
        <f t="shared" si="2"/>
        <v/>
      </c>
      <c r="AJ5" s="44" t="str">
        <f t="array" ref="AJ5">IF($A5="","",IF($Y5="FAIL","Rejected — failed gate",IFERROR(INDEX(Rubric!$C$86:$C$89,MATCH($AI5,Rubric!$B$86:$B$89,1)),"")))</f>
        <v/>
      </c>
      <c r="AK5" s="47" t="str">
        <f t="shared" si="3"/>
        <v/>
      </c>
    </row>
    <row r="6">
      <c r="A6" s="30"/>
      <c r="B6" s="30"/>
      <c r="C6" s="30"/>
      <c r="D6" s="30"/>
      <c r="E6" s="30"/>
      <c r="F6" s="30"/>
      <c r="G6" s="40"/>
      <c r="H6" s="40"/>
      <c r="I6" s="41" t="str">
        <f t="shared" si="1"/>
        <v/>
      </c>
      <c r="J6" s="42"/>
      <c r="K6" s="43"/>
      <c r="L6" s="42"/>
      <c r="M6" s="30"/>
      <c r="N6" s="30"/>
      <c r="O6" s="43"/>
      <c r="P6" s="30"/>
      <c r="Q6" s="30"/>
      <c r="R6" s="30"/>
      <c r="S6" s="30"/>
      <c r="T6" s="30"/>
      <c r="U6" s="30"/>
      <c r="V6" s="30"/>
      <c r="W6" s="34"/>
      <c r="X6" s="34"/>
      <c r="Y6" s="44" t="str">
        <f>IF($A6="","",IF(AND($J6&gt;=Rubric!$B$5,$K6&gt;=Rubric!$B$6,$L6&gt;=Rubric!$B$7,$S6=Rubric!$B$8,OR($N6="Shopee Mall",$N6="Preferred Plus",$N6="Preferred")),"PASS","FAIL"))</f>
        <v/>
      </c>
      <c r="Z6" s="45" t="str">
        <f t="array" ref="Z6">IF($A6="","",IFERROR(INDEX(Rubric!$C$26:$C$30,MATCH($J6,Rubric!$B$26:$B$30,1)),0))</f>
        <v/>
      </c>
      <c r="AA6" s="45" t="str">
        <f t="array" ref="AA6">IF($A6="","",IFERROR(INDEX(Rubric!$C$34:$C$37,MATCH($K6,Rubric!$B$34:$B$37,1)),0))</f>
        <v/>
      </c>
      <c r="AB6" s="45" t="str">
        <f t="array" ref="AB6">IF($A6="","",IFERROR(INDEX(Rubric!$C$41:$C$45,MATCH($L6,Rubric!$B$41:$B$45,1)),0))</f>
        <v/>
      </c>
      <c r="AC6" s="45" t="str">
        <f t="array" ref="AC6">IF($A6="","",IFERROR(INDEX(Rubric!$C$49:$C$52,MATCH($N6,Rubric!$B$49:$B$52,0)),0))</f>
        <v/>
      </c>
      <c r="AD6" s="45" t="str">
        <f t="array" ref="AD6">IF($A6="","",IFERROR(INDEX(Rubric!$C$56:$C$59,MATCH($O6,Rubric!$B$56:$B$59,1)),0))</f>
        <v/>
      </c>
      <c r="AE6" s="45" t="str">
        <f t="array" ref="AE6">IF($A6="","",IFERROR(INDEX(Rubric!$C$63:$C$67,MATCH($I6,Rubric!$B$63:$B$67,1)),0))</f>
        <v/>
      </c>
      <c r="AF6" s="45" t="str">
        <f>IF($A6="","",IF($P6="Yes",Rubric!$C$71,0)+IF($R6="Yes",Rubric!$C$72,0)+IF($Q6="Buy 1 Take 1 or better",Rubric!$C$73,0))</f>
        <v/>
      </c>
      <c r="AG6" s="45" t="str">
        <f>IF($A6="","",IFERROR($V6*Rubric!$C$77,0))</f>
        <v/>
      </c>
      <c r="AH6" s="45" t="str">
        <f>IF($A6="","",IF($T6="Yes",Rubric!$C$81,0)+IF($U6="Yes",Rubric!$C$82,0))</f>
        <v/>
      </c>
      <c r="AI6" s="46" t="str">
        <f t="shared" si="2"/>
        <v/>
      </c>
      <c r="AJ6" s="44" t="str">
        <f t="array" ref="AJ6">IF($A6="","",IF($Y6="FAIL","Rejected — failed gate",IFERROR(INDEX(Rubric!$C$86:$C$89,MATCH($AI6,Rubric!$B$86:$B$89,1)),"")))</f>
        <v/>
      </c>
      <c r="AK6" s="47" t="str">
        <f t="shared" si="3"/>
        <v/>
      </c>
    </row>
    <row r="7">
      <c r="A7" s="30"/>
      <c r="B7" s="30"/>
      <c r="C7" s="30"/>
      <c r="D7" s="30"/>
      <c r="E7" s="30"/>
      <c r="F7" s="30"/>
      <c r="G7" s="40"/>
      <c r="H7" s="40"/>
      <c r="I7" s="41" t="str">
        <f t="shared" si="1"/>
        <v/>
      </c>
      <c r="J7" s="42"/>
      <c r="K7" s="43"/>
      <c r="L7" s="42"/>
      <c r="M7" s="30"/>
      <c r="N7" s="30"/>
      <c r="O7" s="43"/>
      <c r="P7" s="30"/>
      <c r="Q7" s="30"/>
      <c r="R7" s="30"/>
      <c r="S7" s="30"/>
      <c r="T7" s="30"/>
      <c r="U7" s="30"/>
      <c r="V7" s="30"/>
      <c r="W7" s="34"/>
      <c r="X7" s="34"/>
      <c r="Y7" s="44" t="str">
        <f>IF($A7="","",IF(AND($J7&gt;=Rubric!$B$5,$K7&gt;=Rubric!$B$6,$L7&gt;=Rubric!$B$7,$S7=Rubric!$B$8,OR($N7="Shopee Mall",$N7="Preferred Plus",$N7="Preferred")),"PASS","FAIL"))</f>
        <v/>
      </c>
      <c r="Z7" s="45" t="str">
        <f t="array" ref="Z7">IF($A7="","",IFERROR(INDEX(Rubric!$C$26:$C$30,MATCH($J7,Rubric!$B$26:$B$30,1)),0))</f>
        <v/>
      </c>
      <c r="AA7" s="45" t="str">
        <f t="array" ref="AA7">IF($A7="","",IFERROR(INDEX(Rubric!$C$34:$C$37,MATCH($K7,Rubric!$B$34:$B$37,1)),0))</f>
        <v/>
      </c>
      <c r="AB7" s="45" t="str">
        <f t="array" ref="AB7">IF($A7="","",IFERROR(INDEX(Rubric!$C$41:$C$45,MATCH($L7,Rubric!$B$41:$B$45,1)),0))</f>
        <v/>
      </c>
      <c r="AC7" s="45" t="str">
        <f t="array" ref="AC7">IF($A7="","",IFERROR(INDEX(Rubric!$C$49:$C$52,MATCH($N7,Rubric!$B$49:$B$52,0)),0))</f>
        <v/>
      </c>
      <c r="AD7" s="45" t="str">
        <f t="array" ref="AD7">IF($A7="","",IFERROR(INDEX(Rubric!$C$56:$C$59,MATCH($O7,Rubric!$B$56:$B$59,1)),0))</f>
        <v/>
      </c>
      <c r="AE7" s="45" t="str">
        <f t="array" ref="AE7">IF($A7="","",IFERROR(INDEX(Rubric!$C$63:$C$67,MATCH($I7,Rubric!$B$63:$B$67,1)),0))</f>
        <v/>
      </c>
      <c r="AF7" s="45" t="str">
        <f>IF($A7="","",IF($P7="Yes",Rubric!$C$71,0)+IF($R7="Yes",Rubric!$C$72,0)+IF($Q7="Buy 1 Take 1 or better",Rubric!$C$73,0))</f>
        <v/>
      </c>
      <c r="AG7" s="45" t="str">
        <f>IF($A7="","",IFERROR($V7*Rubric!$C$77,0))</f>
        <v/>
      </c>
      <c r="AH7" s="45" t="str">
        <f>IF($A7="","",IF($T7="Yes",Rubric!$C$81,0)+IF($U7="Yes",Rubric!$C$82,0))</f>
        <v/>
      </c>
      <c r="AI7" s="46" t="str">
        <f t="shared" si="2"/>
        <v/>
      </c>
      <c r="AJ7" s="44" t="str">
        <f t="array" ref="AJ7">IF($A7="","",IF($Y7="FAIL","Rejected — failed gate",IFERROR(INDEX(Rubric!$C$86:$C$89,MATCH($AI7,Rubric!$B$86:$B$89,1)),"")))</f>
        <v/>
      </c>
      <c r="AK7" s="47" t="str">
        <f t="shared" si="3"/>
        <v/>
      </c>
    </row>
    <row r="8">
      <c r="A8" s="30"/>
      <c r="B8" s="30"/>
      <c r="C8" s="30"/>
      <c r="D8" s="30"/>
      <c r="E8" s="30"/>
      <c r="F8" s="30"/>
      <c r="G8" s="40"/>
      <c r="H8" s="40"/>
      <c r="I8" s="41" t="str">
        <f t="shared" si="1"/>
        <v/>
      </c>
      <c r="J8" s="42"/>
      <c r="K8" s="43"/>
      <c r="L8" s="42"/>
      <c r="M8" s="30"/>
      <c r="N8" s="30"/>
      <c r="O8" s="43"/>
      <c r="P8" s="30"/>
      <c r="Q8" s="30"/>
      <c r="R8" s="30"/>
      <c r="S8" s="30"/>
      <c r="T8" s="30"/>
      <c r="U8" s="30"/>
      <c r="V8" s="30"/>
      <c r="W8" s="34"/>
      <c r="X8" s="34"/>
      <c r="Y8" s="44" t="str">
        <f>IF($A8="","",IF(AND($J8&gt;=Rubric!$B$5,$K8&gt;=Rubric!$B$6,$L8&gt;=Rubric!$B$7,$S8=Rubric!$B$8,OR($N8="Shopee Mall",$N8="Preferred Plus",$N8="Preferred")),"PASS","FAIL"))</f>
        <v/>
      </c>
      <c r="Z8" s="45" t="str">
        <f t="array" ref="Z8">IF($A8="","",IFERROR(INDEX(Rubric!$C$26:$C$30,MATCH($J8,Rubric!$B$26:$B$30,1)),0))</f>
        <v/>
      </c>
      <c r="AA8" s="45" t="str">
        <f t="array" ref="AA8">IF($A8="","",IFERROR(INDEX(Rubric!$C$34:$C$37,MATCH($K8,Rubric!$B$34:$B$37,1)),0))</f>
        <v/>
      </c>
      <c r="AB8" s="45" t="str">
        <f t="array" ref="AB8">IF($A8="","",IFERROR(INDEX(Rubric!$C$41:$C$45,MATCH($L8,Rubric!$B$41:$B$45,1)),0))</f>
        <v/>
      </c>
      <c r="AC8" s="45" t="str">
        <f t="array" ref="AC8">IF($A8="","",IFERROR(INDEX(Rubric!$C$49:$C$52,MATCH($N8,Rubric!$B$49:$B$52,0)),0))</f>
        <v/>
      </c>
      <c r="AD8" s="45" t="str">
        <f t="array" ref="AD8">IF($A8="","",IFERROR(INDEX(Rubric!$C$56:$C$59,MATCH($O8,Rubric!$B$56:$B$59,1)),0))</f>
        <v/>
      </c>
      <c r="AE8" s="45" t="str">
        <f t="array" ref="AE8">IF($A8="","",IFERROR(INDEX(Rubric!$C$63:$C$67,MATCH($I8,Rubric!$B$63:$B$67,1)),0))</f>
        <v/>
      </c>
      <c r="AF8" s="45" t="str">
        <f>IF($A8="","",IF($P8="Yes",Rubric!$C$71,0)+IF($R8="Yes",Rubric!$C$72,0)+IF($Q8="Buy 1 Take 1 or better",Rubric!$C$73,0))</f>
        <v/>
      </c>
      <c r="AG8" s="45" t="str">
        <f>IF($A8="","",IFERROR($V8*Rubric!$C$77,0))</f>
        <v/>
      </c>
      <c r="AH8" s="45" t="str">
        <f>IF($A8="","",IF($T8="Yes",Rubric!$C$81,0)+IF($U8="Yes",Rubric!$C$82,0))</f>
        <v/>
      </c>
      <c r="AI8" s="46" t="str">
        <f t="shared" si="2"/>
        <v/>
      </c>
      <c r="AJ8" s="44" t="str">
        <f t="array" ref="AJ8">IF($A8="","",IF($Y8="FAIL","Rejected — failed gate",IFERROR(INDEX(Rubric!$C$86:$C$89,MATCH($AI8,Rubric!$B$86:$B$89,1)),"")))</f>
        <v/>
      </c>
      <c r="AK8" s="47" t="str">
        <f t="shared" si="3"/>
        <v/>
      </c>
    </row>
    <row r="9">
      <c r="A9" s="30"/>
      <c r="B9" s="30"/>
      <c r="C9" s="30"/>
      <c r="D9" s="30"/>
      <c r="E9" s="30"/>
      <c r="F9" s="30"/>
      <c r="G9" s="40"/>
      <c r="H9" s="40"/>
      <c r="I9" s="41" t="str">
        <f t="shared" si="1"/>
        <v/>
      </c>
      <c r="J9" s="42"/>
      <c r="K9" s="43"/>
      <c r="L9" s="42"/>
      <c r="M9" s="30"/>
      <c r="N9" s="30"/>
      <c r="O9" s="43"/>
      <c r="P9" s="30"/>
      <c r="Q9" s="30"/>
      <c r="R9" s="30"/>
      <c r="S9" s="30"/>
      <c r="T9" s="30"/>
      <c r="U9" s="30"/>
      <c r="V9" s="30"/>
      <c r="W9" s="34"/>
      <c r="X9" s="34"/>
      <c r="Y9" s="44" t="str">
        <f>IF($A9="","",IF(AND($J9&gt;=Rubric!$B$5,$K9&gt;=Rubric!$B$6,$L9&gt;=Rubric!$B$7,$S9=Rubric!$B$8,OR($N9="Shopee Mall",$N9="Preferred Plus",$N9="Preferred")),"PASS","FAIL"))</f>
        <v/>
      </c>
      <c r="Z9" s="45" t="str">
        <f t="array" ref="Z9">IF($A9="","",IFERROR(INDEX(Rubric!$C$26:$C$30,MATCH($J9,Rubric!$B$26:$B$30,1)),0))</f>
        <v/>
      </c>
      <c r="AA9" s="45" t="str">
        <f t="array" ref="AA9">IF($A9="","",IFERROR(INDEX(Rubric!$C$34:$C$37,MATCH($K9,Rubric!$B$34:$B$37,1)),0))</f>
        <v/>
      </c>
      <c r="AB9" s="45" t="str">
        <f t="array" ref="AB9">IF($A9="","",IFERROR(INDEX(Rubric!$C$41:$C$45,MATCH($L9,Rubric!$B$41:$B$45,1)),0))</f>
        <v/>
      </c>
      <c r="AC9" s="45" t="str">
        <f t="array" ref="AC9">IF($A9="","",IFERROR(INDEX(Rubric!$C$49:$C$52,MATCH($N9,Rubric!$B$49:$B$52,0)),0))</f>
        <v/>
      </c>
      <c r="AD9" s="45" t="str">
        <f t="array" ref="AD9">IF($A9="","",IFERROR(INDEX(Rubric!$C$56:$C$59,MATCH($O9,Rubric!$B$56:$B$59,1)),0))</f>
        <v/>
      </c>
      <c r="AE9" s="45" t="str">
        <f t="array" ref="AE9">IF($A9="","",IFERROR(INDEX(Rubric!$C$63:$C$67,MATCH($I9,Rubric!$B$63:$B$67,1)),0))</f>
        <v/>
      </c>
      <c r="AF9" s="45" t="str">
        <f>IF($A9="","",IF($P9="Yes",Rubric!$C$71,0)+IF($R9="Yes",Rubric!$C$72,0)+IF($Q9="Buy 1 Take 1 or better",Rubric!$C$73,0))</f>
        <v/>
      </c>
      <c r="AG9" s="45" t="str">
        <f>IF($A9="","",IFERROR($V9*Rubric!$C$77,0))</f>
        <v/>
      </c>
      <c r="AH9" s="45" t="str">
        <f>IF($A9="","",IF($T9="Yes",Rubric!$C$81,0)+IF($U9="Yes",Rubric!$C$82,0))</f>
        <v/>
      </c>
      <c r="AI9" s="46" t="str">
        <f t="shared" si="2"/>
        <v/>
      </c>
      <c r="AJ9" s="44" t="str">
        <f t="array" ref="AJ9">IF($A9="","",IF($Y9="FAIL","Rejected — failed gate",IFERROR(INDEX(Rubric!$C$86:$C$89,MATCH($AI9,Rubric!$B$86:$B$89,1)),"")))</f>
        <v/>
      </c>
      <c r="AK9" s="47" t="str">
        <f t="shared" si="3"/>
        <v/>
      </c>
    </row>
    <row r="10">
      <c r="A10" s="30"/>
      <c r="B10" s="30"/>
      <c r="C10" s="30"/>
      <c r="D10" s="30"/>
      <c r="E10" s="30"/>
      <c r="F10" s="30"/>
      <c r="G10" s="40"/>
      <c r="H10" s="40"/>
      <c r="I10" s="41" t="str">
        <f t="shared" si="1"/>
        <v/>
      </c>
      <c r="J10" s="42"/>
      <c r="K10" s="43"/>
      <c r="L10" s="42"/>
      <c r="M10" s="30"/>
      <c r="N10" s="30"/>
      <c r="O10" s="43"/>
      <c r="P10" s="30"/>
      <c r="Q10" s="30"/>
      <c r="R10" s="30"/>
      <c r="S10" s="30"/>
      <c r="T10" s="30"/>
      <c r="U10" s="30"/>
      <c r="V10" s="30"/>
      <c r="W10" s="34"/>
      <c r="X10" s="34"/>
      <c r="Y10" s="44" t="str">
        <f>IF($A10="","",IF(AND($J10&gt;=Rubric!$B$5,$K10&gt;=Rubric!$B$6,$L10&gt;=Rubric!$B$7,$S10=Rubric!$B$8,OR($N10="Shopee Mall",$N10="Preferred Plus",$N10="Preferred")),"PASS","FAIL"))</f>
        <v/>
      </c>
      <c r="Z10" s="45" t="str">
        <f t="array" ref="Z10">IF($A10="","",IFERROR(INDEX(Rubric!$C$26:$C$30,MATCH($J10,Rubric!$B$26:$B$30,1)),0))</f>
        <v/>
      </c>
      <c r="AA10" s="45" t="str">
        <f t="array" ref="AA10">IF($A10="","",IFERROR(INDEX(Rubric!$C$34:$C$37,MATCH($K10,Rubric!$B$34:$B$37,1)),0))</f>
        <v/>
      </c>
      <c r="AB10" s="45" t="str">
        <f t="array" ref="AB10">IF($A10="","",IFERROR(INDEX(Rubric!$C$41:$C$45,MATCH($L10,Rubric!$B$41:$B$45,1)),0))</f>
        <v/>
      </c>
      <c r="AC10" s="45" t="str">
        <f t="array" ref="AC10">IF($A10="","",IFERROR(INDEX(Rubric!$C$49:$C$52,MATCH($N10,Rubric!$B$49:$B$52,0)),0))</f>
        <v/>
      </c>
      <c r="AD10" s="45" t="str">
        <f t="array" ref="AD10">IF($A10="","",IFERROR(INDEX(Rubric!$C$56:$C$59,MATCH($O10,Rubric!$B$56:$B$59,1)),0))</f>
        <v/>
      </c>
      <c r="AE10" s="45" t="str">
        <f t="array" ref="AE10">IF($A10="","",IFERROR(INDEX(Rubric!$C$63:$C$67,MATCH($I10,Rubric!$B$63:$B$67,1)),0))</f>
        <v/>
      </c>
      <c r="AF10" s="45" t="str">
        <f>IF($A10="","",IF($P10="Yes",Rubric!$C$71,0)+IF($R10="Yes",Rubric!$C$72,0)+IF($Q10="Buy 1 Take 1 or better",Rubric!$C$73,0))</f>
        <v/>
      </c>
      <c r="AG10" s="45" t="str">
        <f>IF($A10="","",IFERROR($V10*Rubric!$C$77,0))</f>
        <v/>
      </c>
      <c r="AH10" s="45" t="str">
        <f>IF($A10="","",IF($T10="Yes",Rubric!$C$81,0)+IF($U10="Yes",Rubric!$C$82,0))</f>
        <v/>
      </c>
      <c r="AI10" s="46" t="str">
        <f t="shared" si="2"/>
        <v/>
      </c>
      <c r="AJ10" s="44" t="str">
        <f t="array" ref="AJ10">IF($A10="","",IF($Y10="FAIL","Rejected — failed gate",IFERROR(INDEX(Rubric!$C$86:$C$89,MATCH($AI10,Rubric!$B$86:$B$89,1)),"")))</f>
        <v/>
      </c>
      <c r="AK10" s="47" t="str">
        <f t="shared" si="3"/>
        <v/>
      </c>
    </row>
    <row r="11">
      <c r="A11" s="30"/>
      <c r="B11" s="30"/>
      <c r="C11" s="30"/>
      <c r="D11" s="30"/>
      <c r="E11" s="30"/>
      <c r="F11" s="30"/>
      <c r="G11" s="40"/>
      <c r="H11" s="40"/>
      <c r="I11" s="41" t="str">
        <f t="shared" si="1"/>
        <v/>
      </c>
      <c r="J11" s="42"/>
      <c r="K11" s="43"/>
      <c r="L11" s="42"/>
      <c r="M11" s="30"/>
      <c r="N11" s="30"/>
      <c r="O11" s="43"/>
      <c r="P11" s="30"/>
      <c r="Q11" s="30"/>
      <c r="R11" s="30"/>
      <c r="S11" s="30"/>
      <c r="T11" s="30"/>
      <c r="U11" s="30"/>
      <c r="V11" s="30"/>
      <c r="W11" s="34"/>
      <c r="X11" s="34"/>
      <c r="Y11" s="44" t="str">
        <f>IF($A11="","",IF(AND($J11&gt;=Rubric!$B$5,$K11&gt;=Rubric!$B$6,$L11&gt;=Rubric!$B$7,$S11=Rubric!$B$8,OR($N11="Shopee Mall",$N11="Preferred Plus",$N11="Preferred")),"PASS","FAIL"))</f>
        <v/>
      </c>
      <c r="Z11" s="45" t="str">
        <f t="array" ref="Z11">IF($A11="","",IFERROR(INDEX(Rubric!$C$26:$C$30,MATCH($J11,Rubric!$B$26:$B$30,1)),0))</f>
        <v/>
      </c>
      <c r="AA11" s="45" t="str">
        <f t="array" ref="AA11">IF($A11="","",IFERROR(INDEX(Rubric!$C$34:$C$37,MATCH($K11,Rubric!$B$34:$B$37,1)),0))</f>
        <v/>
      </c>
      <c r="AB11" s="45" t="str">
        <f t="array" ref="AB11">IF($A11="","",IFERROR(INDEX(Rubric!$C$41:$C$45,MATCH($L11,Rubric!$B$41:$B$45,1)),0))</f>
        <v/>
      </c>
      <c r="AC11" s="45" t="str">
        <f t="array" ref="AC11">IF($A11="","",IFERROR(INDEX(Rubric!$C$49:$C$52,MATCH($N11,Rubric!$B$49:$B$52,0)),0))</f>
        <v/>
      </c>
      <c r="AD11" s="45" t="str">
        <f t="array" ref="AD11">IF($A11="","",IFERROR(INDEX(Rubric!$C$56:$C$59,MATCH($O11,Rubric!$B$56:$B$59,1)),0))</f>
        <v/>
      </c>
      <c r="AE11" s="45" t="str">
        <f t="array" ref="AE11">IF($A11="","",IFERROR(INDEX(Rubric!$C$63:$C$67,MATCH($I11,Rubric!$B$63:$B$67,1)),0))</f>
        <v/>
      </c>
      <c r="AF11" s="45" t="str">
        <f>IF($A11="","",IF($P11="Yes",Rubric!$C$71,0)+IF($R11="Yes",Rubric!$C$72,0)+IF($Q11="Buy 1 Take 1 or better",Rubric!$C$73,0))</f>
        <v/>
      </c>
      <c r="AG11" s="45" t="str">
        <f>IF($A11="","",IFERROR($V11*Rubric!$C$77,0))</f>
        <v/>
      </c>
      <c r="AH11" s="45" t="str">
        <f>IF($A11="","",IF($T11="Yes",Rubric!$C$81,0)+IF($U11="Yes",Rubric!$C$82,0))</f>
        <v/>
      </c>
      <c r="AI11" s="46" t="str">
        <f t="shared" si="2"/>
        <v/>
      </c>
      <c r="AJ11" s="44" t="str">
        <f t="array" ref="AJ11">IF($A11="","",IF($Y11="FAIL","Rejected — failed gate",IFERROR(INDEX(Rubric!$C$86:$C$89,MATCH($AI11,Rubric!$B$86:$B$89,1)),"")))</f>
        <v/>
      </c>
      <c r="AK11" s="47" t="str">
        <f t="shared" si="3"/>
        <v/>
      </c>
    </row>
    <row r="12">
      <c r="A12" s="30"/>
      <c r="B12" s="30"/>
      <c r="C12" s="30"/>
      <c r="D12" s="30"/>
      <c r="E12" s="30"/>
      <c r="F12" s="30"/>
      <c r="G12" s="40"/>
      <c r="H12" s="40"/>
      <c r="I12" s="41" t="str">
        <f t="shared" si="1"/>
        <v/>
      </c>
      <c r="J12" s="42"/>
      <c r="K12" s="43"/>
      <c r="L12" s="42"/>
      <c r="M12" s="30"/>
      <c r="N12" s="30"/>
      <c r="O12" s="43"/>
      <c r="P12" s="30"/>
      <c r="Q12" s="30"/>
      <c r="R12" s="30"/>
      <c r="S12" s="30"/>
      <c r="T12" s="30"/>
      <c r="U12" s="30"/>
      <c r="V12" s="30"/>
      <c r="W12" s="34"/>
      <c r="X12" s="34"/>
      <c r="Y12" s="44" t="str">
        <f>IF($A12="","",IF(AND($J12&gt;=Rubric!$B$5,$K12&gt;=Rubric!$B$6,$L12&gt;=Rubric!$B$7,$S12=Rubric!$B$8,OR($N12="Shopee Mall",$N12="Preferred Plus",$N12="Preferred")),"PASS","FAIL"))</f>
        <v/>
      </c>
      <c r="Z12" s="45" t="str">
        <f t="array" ref="Z12">IF($A12="","",IFERROR(INDEX(Rubric!$C$26:$C$30,MATCH($J12,Rubric!$B$26:$B$30,1)),0))</f>
        <v/>
      </c>
      <c r="AA12" s="45" t="str">
        <f t="array" ref="AA12">IF($A12="","",IFERROR(INDEX(Rubric!$C$34:$C$37,MATCH($K12,Rubric!$B$34:$B$37,1)),0))</f>
        <v/>
      </c>
      <c r="AB12" s="45" t="str">
        <f t="array" ref="AB12">IF($A12="","",IFERROR(INDEX(Rubric!$C$41:$C$45,MATCH($L12,Rubric!$B$41:$B$45,1)),0))</f>
        <v/>
      </c>
      <c r="AC12" s="45" t="str">
        <f t="array" ref="AC12">IF($A12="","",IFERROR(INDEX(Rubric!$C$49:$C$52,MATCH($N12,Rubric!$B$49:$B$52,0)),0))</f>
        <v/>
      </c>
      <c r="AD12" s="45" t="str">
        <f t="array" ref="AD12">IF($A12="","",IFERROR(INDEX(Rubric!$C$56:$C$59,MATCH($O12,Rubric!$B$56:$B$59,1)),0))</f>
        <v/>
      </c>
      <c r="AE12" s="45" t="str">
        <f t="array" ref="AE12">IF($A12="","",IFERROR(INDEX(Rubric!$C$63:$C$67,MATCH($I12,Rubric!$B$63:$B$67,1)),0))</f>
        <v/>
      </c>
      <c r="AF12" s="45" t="str">
        <f>IF($A12="","",IF($P12="Yes",Rubric!$C$71,0)+IF($R12="Yes",Rubric!$C$72,0)+IF($Q12="Buy 1 Take 1 or better",Rubric!$C$73,0))</f>
        <v/>
      </c>
      <c r="AG12" s="45" t="str">
        <f>IF($A12="","",IFERROR($V12*Rubric!$C$77,0))</f>
        <v/>
      </c>
      <c r="AH12" s="45" t="str">
        <f>IF($A12="","",IF($T12="Yes",Rubric!$C$81,0)+IF($U12="Yes",Rubric!$C$82,0))</f>
        <v/>
      </c>
      <c r="AI12" s="46" t="str">
        <f t="shared" si="2"/>
        <v/>
      </c>
      <c r="AJ12" s="44" t="str">
        <f t="array" ref="AJ12">IF($A12="","",IF($Y12="FAIL","Rejected — failed gate",IFERROR(INDEX(Rubric!$C$86:$C$89,MATCH($AI12,Rubric!$B$86:$B$89,1)),"")))</f>
        <v/>
      </c>
      <c r="AK12" s="47" t="str">
        <f t="shared" si="3"/>
        <v/>
      </c>
    </row>
    <row r="13">
      <c r="A13" s="30"/>
      <c r="B13" s="30"/>
      <c r="C13" s="30"/>
      <c r="D13" s="30"/>
      <c r="E13" s="30"/>
      <c r="F13" s="30"/>
      <c r="G13" s="40"/>
      <c r="H13" s="40"/>
      <c r="I13" s="41" t="str">
        <f t="shared" si="1"/>
        <v/>
      </c>
      <c r="J13" s="42"/>
      <c r="K13" s="43"/>
      <c r="L13" s="42"/>
      <c r="M13" s="30"/>
      <c r="N13" s="30"/>
      <c r="O13" s="43"/>
      <c r="P13" s="30"/>
      <c r="Q13" s="30"/>
      <c r="R13" s="30"/>
      <c r="S13" s="30"/>
      <c r="T13" s="30"/>
      <c r="U13" s="30"/>
      <c r="V13" s="30"/>
      <c r="W13" s="34"/>
      <c r="X13" s="34"/>
      <c r="Y13" s="44" t="str">
        <f>IF($A13="","",IF(AND($J13&gt;=Rubric!$B$5,$K13&gt;=Rubric!$B$6,$L13&gt;=Rubric!$B$7,$S13=Rubric!$B$8,OR($N13="Shopee Mall",$N13="Preferred Plus",$N13="Preferred")),"PASS","FAIL"))</f>
        <v/>
      </c>
      <c r="Z13" s="45" t="str">
        <f t="array" ref="Z13">IF($A13="","",IFERROR(INDEX(Rubric!$C$26:$C$30,MATCH($J13,Rubric!$B$26:$B$30,1)),0))</f>
        <v/>
      </c>
      <c r="AA13" s="45" t="str">
        <f t="array" ref="AA13">IF($A13="","",IFERROR(INDEX(Rubric!$C$34:$C$37,MATCH($K13,Rubric!$B$34:$B$37,1)),0))</f>
        <v/>
      </c>
      <c r="AB13" s="45" t="str">
        <f t="array" ref="AB13">IF($A13="","",IFERROR(INDEX(Rubric!$C$41:$C$45,MATCH($L13,Rubric!$B$41:$B$45,1)),0))</f>
        <v/>
      </c>
      <c r="AC13" s="45" t="str">
        <f t="array" ref="AC13">IF($A13="","",IFERROR(INDEX(Rubric!$C$49:$C$52,MATCH($N13,Rubric!$B$49:$B$52,0)),0))</f>
        <v/>
      </c>
      <c r="AD13" s="45" t="str">
        <f t="array" ref="AD13">IF($A13="","",IFERROR(INDEX(Rubric!$C$56:$C$59,MATCH($O13,Rubric!$B$56:$B$59,1)),0))</f>
        <v/>
      </c>
      <c r="AE13" s="45" t="str">
        <f t="array" ref="AE13">IF($A13="","",IFERROR(INDEX(Rubric!$C$63:$C$67,MATCH($I13,Rubric!$B$63:$B$67,1)),0))</f>
        <v/>
      </c>
      <c r="AF13" s="45" t="str">
        <f>IF($A13="","",IF($P13="Yes",Rubric!$C$71,0)+IF($R13="Yes",Rubric!$C$72,0)+IF($Q13="Buy 1 Take 1 or better",Rubric!$C$73,0))</f>
        <v/>
      </c>
      <c r="AG13" s="45" t="str">
        <f>IF($A13="","",IFERROR($V13*Rubric!$C$77,0))</f>
        <v/>
      </c>
      <c r="AH13" s="45" t="str">
        <f>IF($A13="","",IF($T13="Yes",Rubric!$C$81,0)+IF($U13="Yes",Rubric!$C$82,0))</f>
        <v/>
      </c>
      <c r="AI13" s="46" t="str">
        <f t="shared" si="2"/>
        <v/>
      </c>
      <c r="AJ13" s="44" t="str">
        <f t="array" ref="AJ13">IF($A13="","",IF($Y13="FAIL","Rejected — failed gate",IFERROR(INDEX(Rubric!$C$86:$C$89,MATCH($AI13,Rubric!$B$86:$B$89,1)),"")))</f>
        <v/>
      </c>
      <c r="AK13" s="47" t="str">
        <f t="shared" si="3"/>
        <v/>
      </c>
    </row>
    <row r="14">
      <c r="A14" s="30"/>
      <c r="B14" s="30"/>
      <c r="C14" s="30"/>
      <c r="D14" s="30"/>
      <c r="E14" s="30"/>
      <c r="F14" s="30"/>
      <c r="G14" s="40"/>
      <c r="H14" s="40"/>
      <c r="I14" s="41" t="str">
        <f t="shared" si="1"/>
        <v/>
      </c>
      <c r="J14" s="42"/>
      <c r="K14" s="43"/>
      <c r="L14" s="42"/>
      <c r="M14" s="30"/>
      <c r="N14" s="30"/>
      <c r="O14" s="43"/>
      <c r="P14" s="30"/>
      <c r="Q14" s="30"/>
      <c r="R14" s="30"/>
      <c r="S14" s="30"/>
      <c r="T14" s="30"/>
      <c r="U14" s="30"/>
      <c r="V14" s="30"/>
      <c r="W14" s="34"/>
      <c r="X14" s="34"/>
      <c r="Y14" s="44" t="str">
        <f>IF($A14="","",IF(AND($J14&gt;=Rubric!$B$5,$K14&gt;=Rubric!$B$6,$L14&gt;=Rubric!$B$7,$S14=Rubric!$B$8,OR($N14="Shopee Mall",$N14="Preferred Plus",$N14="Preferred")),"PASS","FAIL"))</f>
        <v/>
      </c>
      <c r="Z14" s="45" t="str">
        <f t="array" ref="Z14">IF($A14="","",IFERROR(INDEX(Rubric!$C$26:$C$30,MATCH($J14,Rubric!$B$26:$B$30,1)),0))</f>
        <v/>
      </c>
      <c r="AA14" s="45" t="str">
        <f t="array" ref="AA14">IF($A14="","",IFERROR(INDEX(Rubric!$C$34:$C$37,MATCH($K14,Rubric!$B$34:$B$37,1)),0))</f>
        <v/>
      </c>
      <c r="AB14" s="45" t="str">
        <f t="array" ref="AB14">IF($A14="","",IFERROR(INDEX(Rubric!$C$41:$C$45,MATCH($L14,Rubric!$B$41:$B$45,1)),0))</f>
        <v/>
      </c>
      <c r="AC14" s="45" t="str">
        <f t="array" ref="AC14">IF($A14="","",IFERROR(INDEX(Rubric!$C$49:$C$52,MATCH($N14,Rubric!$B$49:$B$52,0)),0))</f>
        <v/>
      </c>
      <c r="AD14" s="45" t="str">
        <f t="array" ref="AD14">IF($A14="","",IFERROR(INDEX(Rubric!$C$56:$C$59,MATCH($O14,Rubric!$B$56:$B$59,1)),0))</f>
        <v/>
      </c>
      <c r="AE14" s="45" t="str">
        <f t="array" ref="AE14">IF($A14="","",IFERROR(INDEX(Rubric!$C$63:$C$67,MATCH($I14,Rubric!$B$63:$B$67,1)),0))</f>
        <v/>
      </c>
      <c r="AF14" s="45" t="str">
        <f>IF($A14="","",IF($P14="Yes",Rubric!$C$71,0)+IF($R14="Yes",Rubric!$C$72,0)+IF($Q14="Buy 1 Take 1 or better",Rubric!$C$73,0))</f>
        <v/>
      </c>
      <c r="AG14" s="45" t="str">
        <f>IF($A14="","",IFERROR($V14*Rubric!$C$77,0))</f>
        <v/>
      </c>
      <c r="AH14" s="45" t="str">
        <f>IF($A14="","",IF($T14="Yes",Rubric!$C$81,0)+IF($U14="Yes",Rubric!$C$82,0))</f>
        <v/>
      </c>
      <c r="AI14" s="46" t="str">
        <f t="shared" si="2"/>
        <v/>
      </c>
      <c r="AJ14" s="44" t="str">
        <f t="array" ref="AJ14">IF($A14="","",IF($Y14="FAIL","Rejected — failed gate",IFERROR(INDEX(Rubric!$C$86:$C$89,MATCH($AI14,Rubric!$B$86:$B$89,1)),"")))</f>
        <v/>
      </c>
      <c r="AK14" s="47" t="str">
        <f t="shared" si="3"/>
        <v/>
      </c>
    </row>
    <row r="15">
      <c r="A15" s="30"/>
      <c r="B15" s="30"/>
      <c r="C15" s="30"/>
      <c r="D15" s="30"/>
      <c r="E15" s="30"/>
      <c r="F15" s="30"/>
      <c r="G15" s="40"/>
      <c r="H15" s="40"/>
      <c r="I15" s="41" t="str">
        <f t="shared" si="1"/>
        <v/>
      </c>
      <c r="J15" s="42"/>
      <c r="K15" s="43"/>
      <c r="L15" s="42"/>
      <c r="M15" s="30"/>
      <c r="N15" s="30"/>
      <c r="O15" s="43"/>
      <c r="P15" s="30"/>
      <c r="Q15" s="30"/>
      <c r="R15" s="30"/>
      <c r="S15" s="30"/>
      <c r="T15" s="30"/>
      <c r="U15" s="30"/>
      <c r="V15" s="30"/>
      <c r="W15" s="34"/>
      <c r="X15" s="34"/>
      <c r="Y15" s="44" t="str">
        <f>IF($A15="","",IF(AND($J15&gt;=Rubric!$B$5,$K15&gt;=Rubric!$B$6,$L15&gt;=Rubric!$B$7,$S15=Rubric!$B$8,OR($N15="Shopee Mall",$N15="Preferred Plus",$N15="Preferred")),"PASS","FAIL"))</f>
        <v/>
      </c>
      <c r="Z15" s="45" t="str">
        <f t="array" ref="Z15">IF($A15="","",IFERROR(INDEX(Rubric!$C$26:$C$30,MATCH($J15,Rubric!$B$26:$B$30,1)),0))</f>
        <v/>
      </c>
      <c r="AA15" s="45" t="str">
        <f t="array" ref="AA15">IF($A15="","",IFERROR(INDEX(Rubric!$C$34:$C$37,MATCH($K15,Rubric!$B$34:$B$37,1)),0))</f>
        <v/>
      </c>
      <c r="AB15" s="45" t="str">
        <f t="array" ref="AB15">IF($A15="","",IFERROR(INDEX(Rubric!$C$41:$C$45,MATCH($L15,Rubric!$B$41:$B$45,1)),0))</f>
        <v/>
      </c>
      <c r="AC15" s="45" t="str">
        <f t="array" ref="AC15">IF($A15="","",IFERROR(INDEX(Rubric!$C$49:$C$52,MATCH($N15,Rubric!$B$49:$B$52,0)),0))</f>
        <v/>
      </c>
      <c r="AD15" s="45" t="str">
        <f t="array" ref="AD15">IF($A15="","",IFERROR(INDEX(Rubric!$C$56:$C$59,MATCH($O15,Rubric!$B$56:$B$59,1)),0))</f>
        <v/>
      </c>
      <c r="AE15" s="45" t="str">
        <f t="array" ref="AE15">IF($A15="","",IFERROR(INDEX(Rubric!$C$63:$C$67,MATCH($I15,Rubric!$B$63:$B$67,1)),0))</f>
        <v/>
      </c>
      <c r="AF15" s="45" t="str">
        <f>IF($A15="","",IF($P15="Yes",Rubric!$C$71,0)+IF($R15="Yes",Rubric!$C$72,0)+IF($Q15="Buy 1 Take 1 or better",Rubric!$C$73,0))</f>
        <v/>
      </c>
      <c r="AG15" s="45" t="str">
        <f>IF($A15="","",IFERROR($V15*Rubric!$C$77,0))</f>
        <v/>
      </c>
      <c r="AH15" s="45" t="str">
        <f>IF($A15="","",IF($T15="Yes",Rubric!$C$81,0)+IF($U15="Yes",Rubric!$C$82,0))</f>
        <v/>
      </c>
      <c r="AI15" s="46" t="str">
        <f t="shared" si="2"/>
        <v/>
      </c>
      <c r="AJ15" s="44" t="str">
        <f t="array" ref="AJ15">IF($A15="","",IF($Y15="FAIL","Rejected — failed gate",IFERROR(INDEX(Rubric!$C$86:$C$89,MATCH($AI15,Rubric!$B$86:$B$89,1)),"")))</f>
        <v/>
      </c>
      <c r="AK15" s="47" t="str">
        <f t="shared" si="3"/>
        <v/>
      </c>
    </row>
    <row r="16">
      <c r="A16" s="30"/>
      <c r="B16" s="30"/>
      <c r="C16" s="30"/>
      <c r="D16" s="30"/>
      <c r="E16" s="30"/>
      <c r="F16" s="30"/>
      <c r="G16" s="40"/>
      <c r="H16" s="40"/>
      <c r="I16" s="41" t="str">
        <f t="shared" si="1"/>
        <v/>
      </c>
      <c r="J16" s="42"/>
      <c r="K16" s="43"/>
      <c r="L16" s="42"/>
      <c r="M16" s="30"/>
      <c r="N16" s="30"/>
      <c r="O16" s="43"/>
      <c r="P16" s="30"/>
      <c r="Q16" s="30"/>
      <c r="R16" s="30"/>
      <c r="S16" s="30"/>
      <c r="T16" s="30"/>
      <c r="U16" s="30"/>
      <c r="V16" s="30"/>
      <c r="W16" s="34"/>
      <c r="X16" s="34"/>
      <c r="Y16" s="44" t="str">
        <f>IF($A16="","",IF(AND($J16&gt;=Rubric!$B$5,$K16&gt;=Rubric!$B$6,$L16&gt;=Rubric!$B$7,$S16=Rubric!$B$8,OR($N16="Shopee Mall",$N16="Preferred Plus",$N16="Preferred")),"PASS","FAIL"))</f>
        <v/>
      </c>
      <c r="Z16" s="45" t="str">
        <f t="array" ref="Z16">IF($A16="","",IFERROR(INDEX(Rubric!$C$26:$C$30,MATCH($J16,Rubric!$B$26:$B$30,1)),0))</f>
        <v/>
      </c>
      <c r="AA16" s="45" t="str">
        <f t="array" ref="AA16">IF($A16="","",IFERROR(INDEX(Rubric!$C$34:$C$37,MATCH($K16,Rubric!$B$34:$B$37,1)),0))</f>
        <v/>
      </c>
      <c r="AB16" s="45" t="str">
        <f t="array" ref="AB16">IF($A16="","",IFERROR(INDEX(Rubric!$C$41:$C$45,MATCH($L16,Rubric!$B$41:$B$45,1)),0))</f>
        <v/>
      </c>
      <c r="AC16" s="45" t="str">
        <f t="array" ref="AC16">IF($A16="","",IFERROR(INDEX(Rubric!$C$49:$C$52,MATCH($N16,Rubric!$B$49:$B$52,0)),0))</f>
        <v/>
      </c>
      <c r="AD16" s="45" t="str">
        <f t="array" ref="AD16">IF($A16="","",IFERROR(INDEX(Rubric!$C$56:$C$59,MATCH($O16,Rubric!$B$56:$B$59,1)),0))</f>
        <v/>
      </c>
      <c r="AE16" s="45" t="str">
        <f t="array" ref="AE16">IF($A16="","",IFERROR(INDEX(Rubric!$C$63:$C$67,MATCH($I16,Rubric!$B$63:$B$67,1)),0))</f>
        <v/>
      </c>
      <c r="AF16" s="45" t="str">
        <f>IF($A16="","",IF($P16="Yes",Rubric!$C$71,0)+IF($R16="Yes",Rubric!$C$72,0)+IF($Q16="Buy 1 Take 1 or better",Rubric!$C$73,0))</f>
        <v/>
      </c>
      <c r="AG16" s="45" t="str">
        <f>IF($A16="","",IFERROR($V16*Rubric!$C$77,0))</f>
        <v/>
      </c>
      <c r="AH16" s="45" t="str">
        <f>IF($A16="","",IF($T16="Yes",Rubric!$C$81,0)+IF($U16="Yes",Rubric!$C$82,0))</f>
        <v/>
      </c>
      <c r="AI16" s="46" t="str">
        <f t="shared" si="2"/>
        <v/>
      </c>
      <c r="AJ16" s="44" t="str">
        <f t="array" ref="AJ16">IF($A16="","",IF($Y16="FAIL","Rejected — failed gate",IFERROR(INDEX(Rubric!$C$86:$C$89,MATCH($AI16,Rubric!$B$86:$B$89,1)),"")))</f>
        <v/>
      </c>
      <c r="AK16" s="47" t="str">
        <f t="shared" si="3"/>
        <v/>
      </c>
    </row>
    <row r="17">
      <c r="A17" s="30"/>
      <c r="B17" s="30"/>
      <c r="C17" s="30"/>
      <c r="D17" s="30"/>
      <c r="E17" s="30"/>
      <c r="F17" s="30"/>
      <c r="G17" s="40"/>
      <c r="H17" s="40"/>
      <c r="I17" s="41" t="str">
        <f t="shared" si="1"/>
        <v/>
      </c>
      <c r="J17" s="42"/>
      <c r="K17" s="43"/>
      <c r="L17" s="42"/>
      <c r="M17" s="30"/>
      <c r="N17" s="30"/>
      <c r="O17" s="43"/>
      <c r="P17" s="30"/>
      <c r="Q17" s="30"/>
      <c r="R17" s="30"/>
      <c r="S17" s="30"/>
      <c r="T17" s="30"/>
      <c r="U17" s="30"/>
      <c r="V17" s="30"/>
      <c r="W17" s="34"/>
      <c r="X17" s="34"/>
      <c r="Y17" s="44" t="str">
        <f>IF($A17="","",IF(AND($J17&gt;=Rubric!$B$5,$K17&gt;=Rubric!$B$6,$L17&gt;=Rubric!$B$7,$S17=Rubric!$B$8,OR($N17="Shopee Mall",$N17="Preferred Plus",$N17="Preferred")),"PASS","FAIL"))</f>
        <v/>
      </c>
      <c r="Z17" s="45" t="str">
        <f t="array" ref="Z17">IF($A17="","",IFERROR(INDEX(Rubric!$C$26:$C$30,MATCH($J17,Rubric!$B$26:$B$30,1)),0))</f>
        <v/>
      </c>
      <c r="AA17" s="45" t="str">
        <f t="array" ref="AA17">IF($A17="","",IFERROR(INDEX(Rubric!$C$34:$C$37,MATCH($K17,Rubric!$B$34:$B$37,1)),0))</f>
        <v/>
      </c>
      <c r="AB17" s="45" t="str">
        <f t="array" ref="AB17">IF($A17="","",IFERROR(INDEX(Rubric!$C$41:$C$45,MATCH($L17,Rubric!$B$41:$B$45,1)),0))</f>
        <v/>
      </c>
      <c r="AC17" s="45" t="str">
        <f t="array" ref="AC17">IF($A17="","",IFERROR(INDEX(Rubric!$C$49:$C$52,MATCH($N17,Rubric!$B$49:$B$52,0)),0))</f>
        <v/>
      </c>
      <c r="AD17" s="45" t="str">
        <f t="array" ref="AD17">IF($A17="","",IFERROR(INDEX(Rubric!$C$56:$C$59,MATCH($O17,Rubric!$B$56:$B$59,1)),0))</f>
        <v/>
      </c>
      <c r="AE17" s="45" t="str">
        <f t="array" ref="AE17">IF($A17="","",IFERROR(INDEX(Rubric!$C$63:$C$67,MATCH($I17,Rubric!$B$63:$B$67,1)),0))</f>
        <v/>
      </c>
      <c r="AF17" s="45" t="str">
        <f>IF($A17="","",IF($P17="Yes",Rubric!$C$71,0)+IF($R17="Yes",Rubric!$C$72,0)+IF($Q17="Buy 1 Take 1 or better",Rubric!$C$73,0))</f>
        <v/>
      </c>
      <c r="AG17" s="45" t="str">
        <f>IF($A17="","",IFERROR($V17*Rubric!$C$77,0))</f>
        <v/>
      </c>
      <c r="AH17" s="45" t="str">
        <f>IF($A17="","",IF($T17="Yes",Rubric!$C$81,0)+IF($U17="Yes",Rubric!$C$82,0))</f>
        <v/>
      </c>
      <c r="AI17" s="46" t="str">
        <f t="shared" si="2"/>
        <v/>
      </c>
      <c r="AJ17" s="44" t="str">
        <f t="array" ref="AJ17">IF($A17="","",IF($Y17="FAIL","Rejected — failed gate",IFERROR(INDEX(Rubric!$C$86:$C$89,MATCH($AI17,Rubric!$B$86:$B$89,1)),"")))</f>
        <v/>
      </c>
      <c r="AK17" s="47" t="str">
        <f t="shared" si="3"/>
        <v/>
      </c>
    </row>
    <row r="18">
      <c r="A18" s="30"/>
      <c r="B18" s="30"/>
      <c r="C18" s="30"/>
      <c r="D18" s="30"/>
      <c r="E18" s="30"/>
      <c r="F18" s="30"/>
      <c r="G18" s="40"/>
      <c r="H18" s="40"/>
      <c r="I18" s="41" t="str">
        <f t="shared" si="1"/>
        <v/>
      </c>
      <c r="J18" s="42"/>
      <c r="K18" s="43"/>
      <c r="L18" s="42"/>
      <c r="M18" s="30"/>
      <c r="N18" s="30"/>
      <c r="O18" s="43"/>
      <c r="P18" s="30"/>
      <c r="Q18" s="30"/>
      <c r="R18" s="30"/>
      <c r="S18" s="30"/>
      <c r="T18" s="30"/>
      <c r="U18" s="30"/>
      <c r="V18" s="30"/>
      <c r="W18" s="34"/>
      <c r="X18" s="34"/>
      <c r="Y18" s="44" t="str">
        <f>IF($A18="","",IF(AND($J18&gt;=Rubric!$B$5,$K18&gt;=Rubric!$B$6,$L18&gt;=Rubric!$B$7,$S18=Rubric!$B$8,OR($N18="Shopee Mall",$N18="Preferred Plus",$N18="Preferred")),"PASS","FAIL"))</f>
        <v/>
      </c>
      <c r="Z18" s="45" t="str">
        <f t="array" ref="Z18">IF($A18="","",IFERROR(INDEX(Rubric!$C$26:$C$30,MATCH($J18,Rubric!$B$26:$B$30,1)),0))</f>
        <v/>
      </c>
      <c r="AA18" s="45" t="str">
        <f t="array" ref="AA18">IF($A18="","",IFERROR(INDEX(Rubric!$C$34:$C$37,MATCH($K18,Rubric!$B$34:$B$37,1)),0))</f>
        <v/>
      </c>
      <c r="AB18" s="45" t="str">
        <f t="array" ref="AB18">IF($A18="","",IFERROR(INDEX(Rubric!$C$41:$C$45,MATCH($L18,Rubric!$B$41:$B$45,1)),0))</f>
        <v/>
      </c>
      <c r="AC18" s="45" t="str">
        <f t="array" ref="AC18">IF($A18="","",IFERROR(INDEX(Rubric!$C$49:$C$52,MATCH($N18,Rubric!$B$49:$B$52,0)),0))</f>
        <v/>
      </c>
      <c r="AD18" s="45" t="str">
        <f t="array" ref="AD18">IF($A18="","",IFERROR(INDEX(Rubric!$C$56:$C$59,MATCH($O18,Rubric!$B$56:$B$59,1)),0))</f>
        <v/>
      </c>
      <c r="AE18" s="45" t="str">
        <f t="array" ref="AE18">IF($A18="","",IFERROR(INDEX(Rubric!$C$63:$C$67,MATCH($I18,Rubric!$B$63:$B$67,1)),0))</f>
        <v/>
      </c>
      <c r="AF18" s="45" t="str">
        <f>IF($A18="","",IF($P18="Yes",Rubric!$C$71,0)+IF($R18="Yes",Rubric!$C$72,0)+IF($Q18="Buy 1 Take 1 or better",Rubric!$C$73,0))</f>
        <v/>
      </c>
      <c r="AG18" s="45" t="str">
        <f>IF($A18="","",IFERROR($V18*Rubric!$C$77,0))</f>
        <v/>
      </c>
      <c r="AH18" s="45" t="str">
        <f>IF($A18="","",IF($T18="Yes",Rubric!$C$81,0)+IF($U18="Yes",Rubric!$C$82,0))</f>
        <v/>
      </c>
      <c r="AI18" s="46" t="str">
        <f t="shared" si="2"/>
        <v/>
      </c>
      <c r="AJ18" s="44" t="str">
        <f t="array" ref="AJ18">IF($A18="","",IF($Y18="FAIL","Rejected — failed gate",IFERROR(INDEX(Rubric!$C$86:$C$89,MATCH($AI18,Rubric!$B$86:$B$89,1)),"")))</f>
        <v/>
      </c>
      <c r="AK18" s="47" t="str">
        <f t="shared" si="3"/>
        <v/>
      </c>
    </row>
    <row r="19">
      <c r="A19" s="30"/>
      <c r="B19" s="30"/>
      <c r="C19" s="30"/>
      <c r="D19" s="30"/>
      <c r="E19" s="30"/>
      <c r="F19" s="30"/>
      <c r="G19" s="40"/>
      <c r="H19" s="40"/>
      <c r="I19" s="41" t="str">
        <f t="shared" si="1"/>
        <v/>
      </c>
      <c r="J19" s="42"/>
      <c r="K19" s="43"/>
      <c r="L19" s="42"/>
      <c r="M19" s="30"/>
      <c r="N19" s="30"/>
      <c r="O19" s="43"/>
      <c r="P19" s="30"/>
      <c r="Q19" s="30"/>
      <c r="R19" s="30"/>
      <c r="S19" s="30"/>
      <c r="T19" s="30"/>
      <c r="U19" s="30"/>
      <c r="V19" s="30"/>
      <c r="W19" s="34"/>
      <c r="X19" s="34"/>
      <c r="Y19" s="44" t="str">
        <f>IF($A19="","",IF(AND($J19&gt;=Rubric!$B$5,$K19&gt;=Rubric!$B$6,$L19&gt;=Rubric!$B$7,$S19=Rubric!$B$8,OR($N19="Shopee Mall",$N19="Preferred Plus",$N19="Preferred")),"PASS","FAIL"))</f>
        <v/>
      </c>
      <c r="Z19" s="45" t="str">
        <f t="array" ref="Z19">IF($A19="","",IFERROR(INDEX(Rubric!$C$26:$C$30,MATCH($J19,Rubric!$B$26:$B$30,1)),0))</f>
        <v/>
      </c>
      <c r="AA19" s="45" t="str">
        <f t="array" ref="AA19">IF($A19="","",IFERROR(INDEX(Rubric!$C$34:$C$37,MATCH($K19,Rubric!$B$34:$B$37,1)),0))</f>
        <v/>
      </c>
      <c r="AB19" s="45" t="str">
        <f t="array" ref="AB19">IF($A19="","",IFERROR(INDEX(Rubric!$C$41:$C$45,MATCH($L19,Rubric!$B$41:$B$45,1)),0))</f>
        <v/>
      </c>
      <c r="AC19" s="45" t="str">
        <f t="array" ref="AC19">IF($A19="","",IFERROR(INDEX(Rubric!$C$49:$C$52,MATCH($N19,Rubric!$B$49:$B$52,0)),0))</f>
        <v/>
      </c>
      <c r="AD19" s="45" t="str">
        <f t="array" ref="AD19">IF($A19="","",IFERROR(INDEX(Rubric!$C$56:$C$59,MATCH($O19,Rubric!$B$56:$B$59,1)),0))</f>
        <v/>
      </c>
      <c r="AE19" s="45" t="str">
        <f t="array" ref="AE19">IF($A19="","",IFERROR(INDEX(Rubric!$C$63:$C$67,MATCH($I19,Rubric!$B$63:$B$67,1)),0))</f>
        <v/>
      </c>
      <c r="AF19" s="45" t="str">
        <f>IF($A19="","",IF($P19="Yes",Rubric!$C$71,0)+IF($R19="Yes",Rubric!$C$72,0)+IF($Q19="Buy 1 Take 1 or better",Rubric!$C$73,0))</f>
        <v/>
      </c>
      <c r="AG19" s="45" t="str">
        <f>IF($A19="","",IFERROR($V19*Rubric!$C$77,0))</f>
        <v/>
      </c>
      <c r="AH19" s="45" t="str">
        <f>IF($A19="","",IF($T19="Yes",Rubric!$C$81,0)+IF($U19="Yes",Rubric!$C$82,0))</f>
        <v/>
      </c>
      <c r="AI19" s="46" t="str">
        <f t="shared" si="2"/>
        <v/>
      </c>
      <c r="AJ19" s="44" t="str">
        <f t="array" ref="AJ19">IF($A19="","",IF($Y19="FAIL","Rejected — failed gate",IFERROR(INDEX(Rubric!$C$86:$C$89,MATCH($AI19,Rubric!$B$86:$B$89,1)),"")))</f>
        <v/>
      </c>
      <c r="AK19" s="47" t="str">
        <f t="shared" si="3"/>
        <v/>
      </c>
    </row>
    <row r="20">
      <c r="A20" s="30"/>
      <c r="B20" s="30"/>
      <c r="C20" s="30"/>
      <c r="D20" s="30"/>
      <c r="E20" s="30"/>
      <c r="F20" s="30"/>
      <c r="G20" s="40"/>
      <c r="H20" s="40"/>
      <c r="I20" s="41" t="str">
        <f t="shared" si="1"/>
        <v/>
      </c>
      <c r="J20" s="42"/>
      <c r="K20" s="43"/>
      <c r="L20" s="42"/>
      <c r="M20" s="30"/>
      <c r="N20" s="30"/>
      <c r="O20" s="43"/>
      <c r="P20" s="30"/>
      <c r="Q20" s="30"/>
      <c r="R20" s="30"/>
      <c r="S20" s="30"/>
      <c r="T20" s="30"/>
      <c r="U20" s="30"/>
      <c r="V20" s="30"/>
      <c r="W20" s="34"/>
      <c r="X20" s="34"/>
      <c r="Y20" s="44" t="str">
        <f>IF($A20="","",IF(AND($J20&gt;=Rubric!$B$5,$K20&gt;=Rubric!$B$6,$L20&gt;=Rubric!$B$7,$S20=Rubric!$B$8,OR($N20="Shopee Mall",$N20="Preferred Plus",$N20="Preferred")),"PASS","FAIL"))</f>
        <v/>
      </c>
      <c r="Z20" s="45" t="str">
        <f t="array" ref="Z20">IF($A20="","",IFERROR(INDEX(Rubric!$C$26:$C$30,MATCH($J20,Rubric!$B$26:$B$30,1)),0))</f>
        <v/>
      </c>
      <c r="AA20" s="45" t="str">
        <f t="array" ref="AA20">IF($A20="","",IFERROR(INDEX(Rubric!$C$34:$C$37,MATCH($K20,Rubric!$B$34:$B$37,1)),0))</f>
        <v/>
      </c>
      <c r="AB20" s="45" t="str">
        <f t="array" ref="AB20">IF($A20="","",IFERROR(INDEX(Rubric!$C$41:$C$45,MATCH($L20,Rubric!$B$41:$B$45,1)),0))</f>
        <v/>
      </c>
      <c r="AC20" s="45" t="str">
        <f t="array" ref="AC20">IF($A20="","",IFERROR(INDEX(Rubric!$C$49:$C$52,MATCH($N20,Rubric!$B$49:$B$52,0)),0))</f>
        <v/>
      </c>
      <c r="AD20" s="45" t="str">
        <f t="array" ref="AD20">IF($A20="","",IFERROR(INDEX(Rubric!$C$56:$C$59,MATCH($O20,Rubric!$B$56:$B$59,1)),0))</f>
        <v/>
      </c>
      <c r="AE20" s="45" t="str">
        <f t="array" ref="AE20">IF($A20="","",IFERROR(INDEX(Rubric!$C$63:$C$67,MATCH($I20,Rubric!$B$63:$B$67,1)),0))</f>
        <v/>
      </c>
      <c r="AF20" s="45" t="str">
        <f>IF($A20="","",IF($P20="Yes",Rubric!$C$71,0)+IF($R20="Yes",Rubric!$C$72,0)+IF($Q20="Buy 1 Take 1 or better",Rubric!$C$73,0))</f>
        <v/>
      </c>
      <c r="AG20" s="45" t="str">
        <f>IF($A20="","",IFERROR($V20*Rubric!$C$77,0))</f>
        <v/>
      </c>
      <c r="AH20" s="45" t="str">
        <f>IF($A20="","",IF($T20="Yes",Rubric!$C$81,0)+IF($U20="Yes",Rubric!$C$82,0))</f>
        <v/>
      </c>
      <c r="AI20" s="46" t="str">
        <f t="shared" si="2"/>
        <v/>
      </c>
      <c r="AJ20" s="44" t="str">
        <f t="array" ref="AJ20">IF($A20="","",IF($Y20="FAIL","Rejected — failed gate",IFERROR(INDEX(Rubric!$C$86:$C$89,MATCH($AI20,Rubric!$B$86:$B$89,1)),"")))</f>
        <v/>
      </c>
      <c r="AK20" s="47" t="str">
        <f t="shared" si="3"/>
        <v/>
      </c>
    </row>
    <row r="21" ht="15.75" customHeight="1">
      <c r="A21" s="30"/>
      <c r="B21" s="30"/>
      <c r="C21" s="30"/>
      <c r="D21" s="30"/>
      <c r="E21" s="30"/>
      <c r="F21" s="30"/>
      <c r="G21" s="40"/>
      <c r="H21" s="40"/>
      <c r="I21" s="41" t="str">
        <f t="shared" si="1"/>
        <v/>
      </c>
      <c r="J21" s="42"/>
      <c r="K21" s="43"/>
      <c r="L21" s="42"/>
      <c r="M21" s="30"/>
      <c r="N21" s="30"/>
      <c r="O21" s="43"/>
      <c r="P21" s="30"/>
      <c r="Q21" s="30"/>
      <c r="R21" s="30"/>
      <c r="S21" s="30"/>
      <c r="T21" s="30"/>
      <c r="U21" s="30"/>
      <c r="V21" s="30"/>
      <c r="W21" s="34"/>
      <c r="X21" s="34"/>
      <c r="Y21" s="44" t="str">
        <f>IF($A21="","",IF(AND($J21&gt;=Rubric!$B$5,$K21&gt;=Rubric!$B$6,$L21&gt;=Rubric!$B$7,$S21=Rubric!$B$8,OR($N21="Shopee Mall",$N21="Preferred Plus",$N21="Preferred")),"PASS","FAIL"))</f>
        <v/>
      </c>
      <c r="Z21" s="45" t="str">
        <f t="array" ref="Z21">IF($A21="","",IFERROR(INDEX(Rubric!$C$26:$C$30,MATCH($J21,Rubric!$B$26:$B$30,1)),0))</f>
        <v/>
      </c>
      <c r="AA21" s="45" t="str">
        <f t="array" ref="AA21">IF($A21="","",IFERROR(INDEX(Rubric!$C$34:$C$37,MATCH($K21,Rubric!$B$34:$B$37,1)),0))</f>
        <v/>
      </c>
      <c r="AB21" s="45" t="str">
        <f t="array" ref="AB21">IF($A21="","",IFERROR(INDEX(Rubric!$C$41:$C$45,MATCH($L21,Rubric!$B$41:$B$45,1)),0))</f>
        <v/>
      </c>
      <c r="AC21" s="45" t="str">
        <f t="array" ref="AC21">IF($A21="","",IFERROR(INDEX(Rubric!$C$49:$C$52,MATCH($N21,Rubric!$B$49:$B$52,0)),0))</f>
        <v/>
      </c>
      <c r="AD21" s="45" t="str">
        <f t="array" ref="AD21">IF($A21="","",IFERROR(INDEX(Rubric!$C$56:$C$59,MATCH($O21,Rubric!$B$56:$B$59,1)),0))</f>
        <v/>
      </c>
      <c r="AE21" s="45" t="str">
        <f t="array" ref="AE21">IF($A21="","",IFERROR(INDEX(Rubric!$C$63:$C$67,MATCH($I21,Rubric!$B$63:$B$67,1)),0))</f>
        <v/>
      </c>
      <c r="AF21" s="45" t="str">
        <f>IF($A21="","",IF($P21="Yes",Rubric!$C$71,0)+IF($R21="Yes",Rubric!$C$72,0)+IF($Q21="Buy 1 Take 1 or better",Rubric!$C$73,0))</f>
        <v/>
      </c>
      <c r="AG21" s="45" t="str">
        <f>IF($A21="","",IFERROR($V21*Rubric!$C$77,0))</f>
        <v/>
      </c>
      <c r="AH21" s="45" t="str">
        <f>IF($A21="","",IF($T21="Yes",Rubric!$C$81,0)+IF($U21="Yes",Rubric!$C$82,0))</f>
        <v/>
      </c>
      <c r="AI21" s="46" t="str">
        <f t="shared" si="2"/>
        <v/>
      </c>
      <c r="AJ21" s="44" t="str">
        <f t="array" ref="AJ21">IF($A21="","",IF($Y21="FAIL","Rejected — failed gate",IFERROR(INDEX(Rubric!$C$86:$C$89,MATCH($AI21,Rubric!$B$86:$B$89,1)),"")))</f>
        <v/>
      </c>
      <c r="AK21" s="47" t="str">
        <f t="shared" si="3"/>
        <v/>
      </c>
    </row>
    <row r="22" ht="15.75" customHeight="1">
      <c r="A22" s="30"/>
      <c r="B22" s="30"/>
      <c r="C22" s="30"/>
      <c r="D22" s="30"/>
      <c r="E22" s="30"/>
      <c r="F22" s="30"/>
      <c r="G22" s="40"/>
      <c r="H22" s="40"/>
      <c r="I22" s="41" t="str">
        <f t="shared" si="1"/>
        <v/>
      </c>
      <c r="J22" s="42"/>
      <c r="K22" s="43"/>
      <c r="L22" s="42"/>
      <c r="M22" s="30"/>
      <c r="N22" s="30"/>
      <c r="O22" s="43"/>
      <c r="P22" s="30"/>
      <c r="Q22" s="30"/>
      <c r="R22" s="30"/>
      <c r="S22" s="30"/>
      <c r="T22" s="30"/>
      <c r="U22" s="30"/>
      <c r="V22" s="30"/>
      <c r="W22" s="34"/>
      <c r="X22" s="34"/>
      <c r="Y22" s="44" t="str">
        <f>IF($A22="","",IF(AND($J22&gt;=Rubric!$B$5,$K22&gt;=Rubric!$B$6,$L22&gt;=Rubric!$B$7,$S22=Rubric!$B$8,OR($N22="Shopee Mall",$N22="Preferred Plus",$N22="Preferred")),"PASS","FAIL"))</f>
        <v/>
      </c>
      <c r="Z22" s="45" t="str">
        <f t="array" ref="Z22">IF($A22="","",IFERROR(INDEX(Rubric!$C$26:$C$30,MATCH($J22,Rubric!$B$26:$B$30,1)),0))</f>
        <v/>
      </c>
      <c r="AA22" s="45" t="str">
        <f t="array" ref="AA22">IF($A22="","",IFERROR(INDEX(Rubric!$C$34:$C$37,MATCH($K22,Rubric!$B$34:$B$37,1)),0))</f>
        <v/>
      </c>
      <c r="AB22" s="45" t="str">
        <f t="array" ref="AB22">IF($A22="","",IFERROR(INDEX(Rubric!$C$41:$C$45,MATCH($L22,Rubric!$B$41:$B$45,1)),0))</f>
        <v/>
      </c>
      <c r="AC22" s="45" t="str">
        <f t="array" ref="AC22">IF($A22="","",IFERROR(INDEX(Rubric!$C$49:$C$52,MATCH($N22,Rubric!$B$49:$B$52,0)),0))</f>
        <v/>
      </c>
      <c r="AD22" s="45" t="str">
        <f t="array" ref="AD22">IF($A22="","",IFERROR(INDEX(Rubric!$C$56:$C$59,MATCH($O22,Rubric!$B$56:$B$59,1)),0))</f>
        <v/>
      </c>
      <c r="AE22" s="45" t="str">
        <f t="array" ref="AE22">IF($A22="","",IFERROR(INDEX(Rubric!$C$63:$C$67,MATCH($I22,Rubric!$B$63:$B$67,1)),0))</f>
        <v/>
      </c>
      <c r="AF22" s="45" t="str">
        <f>IF($A22="","",IF($P22="Yes",Rubric!$C$71,0)+IF($R22="Yes",Rubric!$C$72,0)+IF($Q22="Buy 1 Take 1 or better",Rubric!$C$73,0))</f>
        <v/>
      </c>
      <c r="AG22" s="45" t="str">
        <f>IF($A22="","",IFERROR($V22*Rubric!$C$77,0))</f>
        <v/>
      </c>
      <c r="AH22" s="45" t="str">
        <f>IF($A22="","",IF($T22="Yes",Rubric!$C$81,0)+IF($U22="Yes",Rubric!$C$82,0))</f>
        <v/>
      </c>
      <c r="AI22" s="46" t="str">
        <f t="shared" si="2"/>
        <v/>
      </c>
      <c r="AJ22" s="44" t="str">
        <f t="array" ref="AJ22">IF($A22="","",IF($Y22="FAIL","Rejected — failed gate",IFERROR(INDEX(Rubric!$C$86:$C$89,MATCH($AI22,Rubric!$B$86:$B$89,1)),"")))</f>
        <v/>
      </c>
      <c r="AK22" s="47" t="str">
        <f t="shared" si="3"/>
        <v/>
      </c>
    </row>
    <row r="23" ht="15.75" customHeight="1">
      <c r="A23" s="30"/>
      <c r="B23" s="30"/>
      <c r="C23" s="30"/>
      <c r="D23" s="30"/>
      <c r="E23" s="30"/>
      <c r="F23" s="30"/>
      <c r="G23" s="40"/>
      <c r="H23" s="40"/>
      <c r="I23" s="41" t="str">
        <f t="shared" si="1"/>
        <v/>
      </c>
      <c r="J23" s="42"/>
      <c r="K23" s="43"/>
      <c r="L23" s="42"/>
      <c r="M23" s="30"/>
      <c r="N23" s="30"/>
      <c r="O23" s="43"/>
      <c r="P23" s="30"/>
      <c r="Q23" s="30"/>
      <c r="R23" s="30"/>
      <c r="S23" s="30"/>
      <c r="T23" s="30"/>
      <c r="U23" s="30"/>
      <c r="V23" s="30"/>
      <c r="W23" s="34"/>
      <c r="X23" s="34"/>
      <c r="Y23" s="44" t="str">
        <f>IF($A23="","",IF(AND($J23&gt;=Rubric!$B$5,$K23&gt;=Rubric!$B$6,$L23&gt;=Rubric!$B$7,$S23=Rubric!$B$8,OR($N23="Shopee Mall",$N23="Preferred Plus",$N23="Preferred")),"PASS","FAIL"))</f>
        <v/>
      </c>
      <c r="Z23" s="45" t="str">
        <f t="array" ref="Z23">IF($A23="","",IFERROR(INDEX(Rubric!$C$26:$C$30,MATCH($J23,Rubric!$B$26:$B$30,1)),0))</f>
        <v/>
      </c>
      <c r="AA23" s="45" t="str">
        <f t="array" ref="AA23">IF($A23="","",IFERROR(INDEX(Rubric!$C$34:$C$37,MATCH($K23,Rubric!$B$34:$B$37,1)),0))</f>
        <v/>
      </c>
      <c r="AB23" s="45" t="str">
        <f t="array" ref="AB23">IF($A23="","",IFERROR(INDEX(Rubric!$C$41:$C$45,MATCH($L23,Rubric!$B$41:$B$45,1)),0))</f>
        <v/>
      </c>
      <c r="AC23" s="45" t="str">
        <f t="array" ref="AC23">IF($A23="","",IFERROR(INDEX(Rubric!$C$49:$C$52,MATCH($N23,Rubric!$B$49:$B$52,0)),0))</f>
        <v/>
      </c>
      <c r="AD23" s="45" t="str">
        <f t="array" ref="AD23">IF($A23="","",IFERROR(INDEX(Rubric!$C$56:$C$59,MATCH($O23,Rubric!$B$56:$B$59,1)),0))</f>
        <v/>
      </c>
      <c r="AE23" s="45" t="str">
        <f t="array" ref="AE23">IF($A23="","",IFERROR(INDEX(Rubric!$C$63:$C$67,MATCH($I23,Rubric!$B$63:$B$67,1)),0))</f>
        <v/>
      </c>
      <c r="AF23" s="45" t="str">
        <f>IF($A23="","",IF($P23="Yes",Rubric!$C$71,0)+IF($R23="Yes",Rubric!$C$72,0)+IF($Q23="Buy 1 Take 1 or better",Rubric!$C$73,0))</f>
        <v/>
      </c>
      <c r="AG23" s="45" t="str">
        <f>IF($A23="","",IFERROR($V23*Rubric!$C$77,0))</f>
        <v/>
      </c>
      <c r="AH23" s="45" t="str">
        <f>IF($A23="","",IF($T23="Yes",Rubric!$C$81,0)+IF($U23="Yes",Rubric!$C$82,0))</f>
        <v/>
      </c>
      <c r="AI23" s="46" t="str">
        <f t="shared" si="2"/>
        <v/>
      </c>
      <c r="AJ23" s="44" t="str">
        <f t="array" ref="AJ23">IF($A23="","",IF($Y23="FAIL","Rejected — failed gate",IFERROR(INDEX(Rubric!$C$86:$C$89,MATCH($AI23,Rubric!$B$86:$B$89,1)),"")))</f>
        <v/>
      </c>
      <c r="AK23" s="47" t="str">
        <f t="shared" si="3"/>
        <v/>
      </c>
    </row>
    <row r="24" ht="15.75" customHeight="1">
      <c r="A24" s="30"/>
      <c r="B24" s="30"/>
      <c r="C24" s="30"/>
      <c r="D24" s="30"/>
      <c r="E24" s="30"/>
      <c r="F24" s="30"/>
      <c r="G24" s="40"/>
      <c r="H24" s="40"/>
      <c r="I24" s="41" t="str">
        <f t="shared" si="1"/>
        <v/>
      </c>
      <c r="J24" s="42"/>
      <c r="K24" s="43"/>
      <c r="L24" s="42"/>
      <c r="M24" s="30"/>
      <c r="N24" s="30"/>
      <c r="O24" s="43"/>
      <c r="P24" s="30"/>
      <c r="Q24" s="30"/>
      <c r="R24" s="30"/>
      <c r="S24" s="30"/>
      <c r="T24" s="30"/>
      <c r="U24" s="30"/>
      <c r="V24" s="30"/>
      <c r="W24" s="34"/>
      <c r="X24" s="34"/>
      <c r="Y24" s="44" t="str">
        <f>IF($A24="","",IF(AND($J24&gt;=Rubric!$B$5,$K24&gt;=Rubric!$B$6,$L24&gt;=Rubric!$B$7,$S24=Rubric!$B$8,OR($N24="Shopee Mall",$N24="Preferred Plus",$N24="Preferred")),"PASS","FAIL"))</f>
        <v/>
      </c>
      <c r="Z24" s="45" t="str">
        <f t="array" ref="Z24">IF($A24="","",IFERROR(INDEX(Rubric!$C$26:$C$30,MATCH($J24,Rubric!$B$26:$B$30,1)),0))</f>
        <v/>
      </c>
      <c r="AA24" s="45" t="str">
        <f t="array" ref="AA24">IF($A24="","",IFERROR(INDEX(Rubric!$C$34:$C$37,MATCH($K24,Rubric!$B$34:$B$37,1)),0))</f>
        <v/>
      </c>
      <c r="AB24" s="45" t="str">
        <f t="array" ref="AB24">IF($A24="","",IFERROR(INDEX(Rubric!$C$41:$C$45,MATCH($L24,Rubric!$B$41:$B$45,1)),0))</f>
        <v/>
      </c>
      <c r="AC24" s="45" t="str">
        <f t="array" ref="AC24">IF($A24="","",IFERROR(INDEX(Rubric!$C$49:$C$52,MATCH($N24,Rubric!$B$49:$B$52,0)),0))</f>
        <v/>
      </c>
      <c r="AD24" s="45" t="str">
        <f t="array" ref="AD24">IF($A24="","",IFERROR(INDEX(Rubric!$C$56:$C$59,MATCH($O24,Rubric!$B$56:$B$59,1)),0))</f>
        <v/>
      </c>
      <c r="AE24" s="45" t="str">
        <f t="array" ref="AE24">IF($A24="","",IFERROR(INDEX(Rubric!$C$63:$C$67,MATCH($I24,Rubric!$B$63:$B$67,1)),0))</f>
        <v/>
      </c>
      <c r="AF24" s="45" t="str">
        <f>IF($A24="","",IF($P24="Yes",Rubric!$C$71,0)+IF($R24="Yes",Rubric!$C$72,0)+IF($Q24="Buy 1 Take 1 or better",Rubric!$C$73,0))</f>
        <v/>
      </c>
      <c r="AG24" s="45" t="str">
        <f>IF($A24="","",IFERROR($V24*Rubric!$C$77,0))</f>
        <v/>
      </c>
      <c r="AH24" s="45" t="str">
        <f>IF($A24="","",IF($T24="Yes",Rubric!$C$81,0)+IF($U24="Yes",Rubric!$C$82,0))</f>
        <v/>
      </c>
      <c r="AI24" s="46" t="str">
        <f t="shared" si="2"/>
        <v/>
      </c>
      <c r="AJ24" s="44" t="str">
        <f t="array" ref="AJ24">IF($A24="","",IF($Y24="FAIL","Rejected — failed gate",IFERROR(INDEX(Rubric!$C$86:$C$89,MATCH($AI24,Rubric!$B$86:$B$89,1)),"")))</f>
        <v/>
      </c>
      <c r="AK24" s="47" t="str">
        <f t="shared" si="3"/>
        <v/>
      </c>
    </row>
    <row r="25" ht="15.75" customHeight="1">
      <c r="A25" s="30"/>
      <c r="B25" s="30"/>
      <c r="C25" s="30"/>
      <c r="D25" s="30"/>
      <c r="E25" s="30"/>
      <c r="F25" s="30"/>
      <c r="G25" s="40"/>
      <c r="H25" s="40"/>
      <c r="I25" s="41" t="str">
        <f t="shared" si="1"/>
        <v/>
      </c>
      <c r="J25" s="42"/>
      <c r="K25" s="43"/>
      <c r="L25" s="42"/>
      <c r="M25" s="30"/>
      <c r="N25" s="30"/>
      <c r="O25" s="43"/>
      <c r="P25" s="30"/>
      <c r="Q25" s="30"/>
      <c r="R25" s="30"/>
      <c r="S25" s="30"/>
      <c r="T25" s="30"/>
      <c r="U25" s="30"/>
      <c r="V25" s="30"/>
      <c r="W25" s="34"/>
      <c r="X25" s="34"/>
      <c r="Y25" s="44" t="str">
        <f>IF($A25="","",IF(AND($J25&gt;=Rubric!$B$5,$K25&gt;=Rubric!$B$6,$L25&gt;=Rubric!$B$7,$S25=Rubric!$B$8,OR($N25="Shopee Mall",$N25="Preferred Plus",$N25="Preferred")),"PASS","FAIL"))</f>
        <v/>
      </c>
      <c r="Z25" s="45" t="str">
        <f t="array" ref="Z25">IF($A25="","",IFERROR(INDEX(Rubric!$C$26:$C$30,MATCH($J25,Rubric!$B$26:$B$30,1)),0))</f>
        <v/>
      </c>
      <c r="AA25" s="45" t="str">
        <f t="array" ref="AA25">IF($A25="","",IFERROR(INDEX(Rubric!$C$34:$C$37,MATCH($K25,Rubric!$B$34:$B$37,1)),0))</f>
        <v/>
      </c>
      <c r="AB25" s="45" t="str">
        <f t="array" ref="AB25">IF($A25="","",IFERROR(INDEX(Rubric!$C$41:$C$45,MATCH($L25,Rubric!$B$41:$B$45,1)),0))</f>
        <v/>
      </c>
      <c r="AC25" s="45" t="str">
        <f t="array" ref="AC25">IF($A25="","",IFERROR(INDEX(Rubric!$C$49:$C$52,MATCH($N25,Rubric!$B$49:$B$52,0)),0))</f>
        <v/>
      </c>
      <c r="AD25" s="45" t="str">
        <f t="array" ref="AD25">IF($A25="","",IFERROR(INDEX(Rubric!$C$56:$C$59,MATCH($O25,Rubric!$B$56:$B$59,1)),0))</f>
        <v/>
      </c>
      <c r="AE25" s="45" t="str">
        <f t="array" ref="AE25">IF($A25="","",IFERROR(INDEX(Rubric!$C$63:$C$67,MATCH($I25,Rubric!$B$63:$B$67,1)),0))</f>
        <v/>
      </c>
      <c r="AF25" s="45" t="str">
        <f>IF($A25="","",IF($P25="Yes",Rubric!$C$71,0)+IF($R25="Yes",Rubric!$C$72,0)+IF($Q25="Buy 1 Take 1 or better",Rubric!$C$73,0))</f>
        <v/>
      </c>
      <c r="AG25" s="45" t="str">
        <f>IF($A25="","",IFERROR($V25*Rubric!$C$77,0))</f>
        <v/>
      </c>
      <c r="AH25" s="45" t="str">
        <f>IF($A25="","",IF($T25="Yes",Rubric!$C$81,0)+IF($U25="Yes",Rubric!$C$82,0))</f>
        <v/>
      </c>
      <c r="AI25" s="46" t="str">
        <f t="shared" si="2"/>
        <v/>
      </c>
      <c r="AJ25" s="44" t="str">
        <f t="array" ref="AJ25">IF($A25="","",IF($Y25="FAIL","Rejected — failed gate",IFERROR(INDEX(Rubric!$C$86:$C$89,MATCH($AI25,Rubric!$B$86:$B$89,1)),"")))</f>
        <v/>
      </c>
      <c r="AK25" s="47" t="str">
        <f t="shared" si="3"/>
        <v/>
      </c>
    </row>
    <row r="26" ht="15.75" customHeight="1">
      <c r="A26" s="30"/>
      <c r="B26" s="30"/>
      <c r="C26" s="30"/>
      <c r="D26" s="30"/>
      <c r="E26" s="30"/>
      <c r="F26" s="30"/>
      <c r="G26" s="40"/>
      <c r="H26" s="40"/>
      <c r="I26" s="41" t="str">
        <f t="shared" si="1"/>
        <v/>
      </c>
      <c r="J26" s="42"/>
      <c r="K26" s="43"/>
      <c r="L26" s="42"/>
      <c r="M26" s="30"/>
      <c r="N26" s="30"/>
      <c r="O26" s="43"/>
      <c r="P26" s="30"/>
      <c r="Q26" s="30"/>
      <c r="R26" s="30"/>
      <c r="S26" s="30"/>
      <c r="T26" s="30"/>
      <c r="U26" s="30"/>
      <c r="V26" s="30"/>
      <c r="W26" s="34"/>
      <c r="X26" s="34"/>
      <c r="Y26" s="44" t="str">
        <f>IF($A26="","",IF(AND($J26&gt;=Rubric!$B$5,$K26&gt;=Rubric!$B$6,$L26&gt;=Rubric!$B$7,$S26=Rubric!$B$8,OR($N26="Shopee Mall",$N26="Preferred Plus",$N26="Preferred")),"PASS","FAIL"))</f>
        <v/>
      </c>
      <c r="Z26" s="45" t="str">
        <f t="array" ref="Z26">IF($A26="","",IFERROR(INDEX(Rubric!$C$26:$C$30,MATCH($J26,Rubric!$B$26:$B$30,1)),0))</f>
        <v/>
      </c>
      <c r="AA26" s="45" t="str">
        <f t="array" ref="AA26">IF($A26="","",IFERROR(INDEX(Rubric!$C$34:$C$37,MATCH($K26,Rubric!$B$34:$B$37,1)),0))</f>
        <v/>
      </c>
      <c r="AB26" s="45" t="str">
        <f t="array" ref="AB26">IF($A26="","",IFERROR(INDEX(Rubric!$C$41:$C$45,MATCH($L26,Rubric!$B$41:$B$45,1)),0))</f>
        <v/>
      </c>
      <c r="AC26" s="45" t="str">
        <f t="array" ref="AC26">IF($A26="","",IFERROR(INDEX(Rubric!$C$49:$C$52,MATCH($N26,Rubric!$B$49:$B$52,0)),0))</f>
        <v/>
      </c>
      <c r="AD26" s="45" t="str">
        <f t="array" ref="AD26">IF($A26="","",IFERROR(INDEX(Rubric!$C$56:$C$59,MATCH($O26,Rubric!$B$56:$B$59,1)),0))</f>
        <v/>
      </c>
      <c r="AE26" s="45" t="str">
        <f t="array" ref="AE26">IF($A26="","",IFERROR(INDEX(Rubric!$C$63:$C$67,MATCH($I26,Rubric!$B$63:$B$67,1)),0))</f>
        <v/>
      </c>
      <c r="AF26" s="45" t="str">
        <f>IF($A26="","",IF($P26="Yes",Rubric!$C$71,0)+IF($R26="Yes",Rubric!$C$72,0)+IF($Q26="Buy 1 Take 1 or better",Rubric!$C$73,0))</f>
        <v/>
      </c>
      <c r="AG26" s="45" t="str">
        <f>IF($A26="","",IFERROR($V26*Rubric!$C$77,0))</f>
        <v/>
      </c>
      <c r="AH26" s="45" t="str">
        <f>IF($A26="","",IF($T26="Yes",Rubric!$C$81,0)+IF($U26="Yes",Rubric!$C$82,0))</f>
        <v/>
      </c>
      <c r="AI26" s="46" t="str">
        <f t="shared" si="2"/>
        <v/>
      </c>
      <c r="AJ26" s="44" t="str">
        <f t="array" ref="AJ26">IF($A26="","",IF($Y26="FAIL","Rejected — failed gate",IFERROR(INDEX(Rubric!$C$86:$C$89,MATCH($AI26,Rubric!$B$86:$B$89,1)),"")))</f>
        <v/>
      </c>
      <c r="AK26" s="47" t="str">
        <f t="shared" si="3"/>
        <v/>
      </c>
    </row>
    <row r="27" ht="15.75" customHeight="1">
      <c r="A27" s="30"/>
      <c r="B27" s="30"/>
      <c r="C27" s="30"/>
      <c r="D27" s="30"/>
      <c r="E27" s="30"/>
      <c r="F27" s="30"/>
      <c r="G27" s="40"/>
      <c r="H27" s="40"/>
      <c r="I27" s="41" t="str">
        <f t="shared" si="1"/>
        <v/>
      </c>
      <c r="J27" s="42"/>
      <c r="K27" s="43"/>
      <c r="L27" s="42"/>
      <c r="M27" s="30"/>
      <c r="N27" s="30"/>
      <c r="O27" s="43"/>
      <c r="P27" s="30"/>
      <c r="Q27" s="30"/>
      <c r="R27" s="30"/>
      <c r="S27" s="30"/>
      <c r="T27" s="30"/>
      <c r="U27" s="30"/>
      <c r="V27" s="30"/>
      <c r="W27" s="34"/>
      <c r="X27" s="34"/>
      <c r="Y27" s="44" t="str">
        <f>IF($A27="","",IF(AND($J27&gt;=Rubric!$B$5,$K27&gt;=Rubric!$B$6,$L27&gt;=Rubric!$B$7,$S27=Rubric!$B$8,OR($N27="Shopee Mall",$N27="Preferred Plus",$N27="Preferred")),"PASS","FAIL"))</f>
        <v/>
      </c>
      <c r="Z27" s="45" t="str">
        <f t="array" ref="Z27">IF($A27="","",IFERROR(INDEX(Rubric!$C$26:$C$30,MATCH($J27,Rubric!$B$26:$B$30,1)),0))</f>
        <v/>
      </c>
      <c r="AA27" s="45" t="str">
        <f t="array" ref="AA27">IF($A27="","",IFERROR(INDEX(Rubric!$C$34:$C$37,MATCH($K27,Rubric!$B$34:$B$37,1)),0))</f>
        <v/>
      </c>
      <c r="AB27" s="45" t="str">
        <f t="array" ref="AB27">IF($A27="","",IFERROR(INDEX(Rubric!$C$41:$C$45,MATCH($L27,Rubric!$B$41:$B$45,1)),0))</f>
        <v/>
      </c>
      <c r="AC27" s="45" t="str">
        <f t="array" ref="AC27">IF($A27="","",IFERROR(INDEX(Rubric!$C$49:$C$52,MATCH($N27,Rubric!$B$49:$B$52,0)),0))</f>
        <v/>
      </c>
      <c r="AD27" s="45" t="str">
        <f t="array" ref="AD27">IF($A27="","",IFERROR(INDEX(Rubric!$C$56:$C$59,MATCH($O27,Rubric!$B$56:$B$59,1)),0))</f>
        <v/>
      </c>
      <c r="AE27" s="45" t="str">
        <f t="array" ref="AE27">IF($A27="","",IFERROR(INDEX(Rubric!$C$63:$C$67,MATCH($I27,Rubric!$B$63:$B$67,1)),0))</f>
        <v/>
      </c>
      <c r="AF27" s="45" t="str">
        <f>IF($A27="","",IF($P27="Yes",Rubric!$C$71,0)+IF($R27="Yes",Rubric!$C$72,0)+IF($Q27="Buy 1 Take 1 or better",Rubric!$C$73,0))</f>
        <v/>
      </c>
      <c r="AG27" s="45" t="str">
        <f>IF($A27="","",IFERROR($V27*Rubric!$C$77,0))</f>
        <v/>
      </c>
      <c r="AH27" s="45" t="str">
        <f>IF($A27="","",IF($T27="Yes",Rubric!$C$81,0)+IF($U27="Yes",Rubric!$C$82,0))</f>
        <v/>
      </c>
      <c r="AI27" s="46" t="str">
        <f t="shared" si="2"/>
        <v/>
      </c>
      <c r="AJ27" s="44" t="str">
        <f t="array" ref="AJ27">IF($A27="","",IF($Y27="FAIL","Rejected — failed gate",IFERROR(INDEX(Rubric!$C$86:$C$89,MATCH($AI27,Rubric!$B$86:$B$89,1)),"")))</f>
        <v/>
      </c>
      <c r="AK27" s="47" t="str">
        <f t="shared" si="3"/>
        <v/>
      </c>
    </row>
    <row r="28" ht="15.75" customHeight="1">
      <c r="A28" s="30"/>
      <c r="B28" s="30"/>
      <c r="C28" s="30"/>
      <c r="D28" s="30"/>
      <c r="E28" s="30"/>
      <c r="F28" s="30"/>
      <c r="G28" s="40"/>
      <c r="H28" s="40"/>
      <c r="I28" s="41" t="str">
        <f t="shared" si="1"/>
        <v/>
      </c>
      <c r="J28" s="42"/>
      <c r="K28" s="43"/>
      <c r="L28" s="42"/>
      <c r="M28" s="30"/>
      <c r="N28" s="30"/>
      <c r="O28" s="43"/>
      <c r="P28" s="30"/>
      <c r="Q28" s="30"/>
      <c r="R28" s="30"/>
      <c r="S28" s="30"/>
      <c r="T28" s="30"/>
      <c r="U28" s="30"/>
      <c r="V28" s="30"/>
      <c r="W28" s="34"/>
      <c r="X28" s="34"/>
      <c r="Y28" s="44" t="str">
        <f>IF($A28="","",IF(AND($J28&gt;=Rubric!$B$5,$K28&gt;=Rubric!$B$6,$L28&gt;=Rubric!$B$7,$S28=Rubric!$B$8,OR($N28="Shopee Mall",$N28="Preferred Plus",$N28="Preferred")),"PASS","FAIL"))</f>
        <v/>
      </c>
      <c r="Z28" s="45" t="str">
        <f t="array" ref="Z28">IF($A28="","",IFERROR(INDEX(Rubric!$C$26:$C$30,MATCH($J28,Rubric!$B$26:$B$30,1)),0))</f>
        <v/>
      </c>
      <c r="AA28" s="45" t="str">
        <f t="array" ref="AA28">IF($A28="","",IFERROR(INDEX(Rubric!$C$34:$C$37,MATCH($K28,Rubric!$B$34:$B$37,1)),0))</f>
        <v/>
      </c>
      <c r="AB28" s="45" t="str">
        <f t="array" ref="AB28">IF($A28="","",IFERROR(INDEX(Rubric!$C$41:$C$45,MATCH($L28,Rubric!$B$41:$B$45,1)),0))</f>
        <v/>
      </c>
      <c r="AC28" s="45" t="str">
        <f t="array" ref="AC28">IF($A28="","",IFERROR(INDEX(Rubric!$C$49:$C$52,MATCH($N28,Rubric!$B$49:$B$52,0)),0))</f>
        <v/>
      </c>
      <c r="AD28" s="45" t="str">
        <f t="array" ref="AD28">IF($A28="","",IFERROR(INDEX(Rubric!$C$56:$C$59,MATCH($O28,Rubric!$B$56:$B$59,1)),0))</f>
        <v/>
      </c>
      <c r="AE28" s="45" t="str">
        <f t="array" ref="AE28">IF($A28="","",IFERROR(INDEX(Rubric!$C$63:$C$67,MATCH($I28,Rubric!$B$63:$B$67,1)),0))</f>
        <v/>
      </c>
      <c r="AF28" s="45" t="str">
        <f>IF($A28="","",IF($P28="Yes",Rubric!$C$71,0)+IF($R28="Yes",Rubric!$C$72,0)+IF($Q28="Buy 1 Take 1 or better",Rubric!$C$73,0))</f>
        <v/>
      </c>
      <c r="AG28" s="45" t="str">
        <f>IF($A28="","",IFERROR($V28*Rubric!$C$77,0))</f>
        <v/>
      </c>
      <c r="AH28" s="45" t="str">
        <f>IF($A28="","",IF($T28="Yes",Rubric!$C$81,0)+IF($U28="Yes",Rubric!$C$82,0))</f>
        <v/>
      </c>
      <c r="AI28" s="46" t="str">
        <f t="shared" si="2"/>
        <v/>
      </c>
      <c r="AJ28" s="44" t="str">
        <f t="array" ref="AJ28">IF($A28="","",IF($Y28="FAIL","Rejected — failed gate",IFERROR(INDEX(Rubric!$C$86:$C$89,MATCH($AI28,Rubric!$B$86:$B$89,1)),"")))</f>
        <v/>
      </c>
      <c r="AK28" s="47" t="str">
        <f t="shared" si="3"/>
        <v/>
      </c>
    </row>
    <row r="29" ht="15.75" customHeight="1">
      <c r="A29" s="30"/>
      <c r="B29" s="30"/>
      <c r="C29" s="30"/>
      <c r="D29" s="30"/>
      <c r="E29" s="30"/>
      <c r="F29" s="30"/>
      <c r="G29" s="40"/>
      <c r="H29" s="40"/>
      <c r="I29" s="41" t="str">
        <f t="shared" si="1"/>
        <v/>
      </c>
      <c r="J29" s="42"/>
      <c r="K29" s="43"/>
      <c r="L29" s="42"/>
      <c r="M29" s="30"/>
      <c r="N29" s="30"/>
      <c r="O29" s="43"/>
      <c r="P29" s="30"/>
      <c r="Q29" s="30"/>
      <c r="R29" s="30"/>
      <c r="S29" s="30"/>
      <c r="T29" s="30"/>
      <c r="U29" s="30"/>
      <c r="V29" s="30"/>
      <c r="W29" s="34"/>
      <c r="X29" s="34"/>
      <c r="Y29" s="44" t="str">
        <f>IF($A29="","",IF(AND($J29&gt;=Rubric!$B$5,$K29&gt;=Rubric!$B$6,$L29&gt;=Rubric!$B$7,$S29=Rubric!$B$8,OR($N29="Shopee Mall",$N29="Preferred Plus",$N29="Preferred")),"PASS","FAIL"))</f>
        <v/>
      </c>
      <c r="Z29" s="45" t="str">
        <f t="array" ref="Z29">IF($A29="","",IFERROR(INDEX(Rubric!$C$26:$C$30,MATCH($J29,Rubric!$B$26:$B$30,1)),0))</f>
        <v/>
      </c>
      <c r="AA29" s="45" t="str">
        <f t="array" ref="AA29">IF($A29="","",IFERROR(INDEX(Rubric!$C$34:$C$37,MATCH($K29,Rubric!$B$34:$B$37,1)),0))</f>
        <v/>
      </c>
      <c r="AB29" s="45" t="str">
        <f t="array" ref="AB29">IF($A29="","",IFERROR(INDEX(Rubric!$C$41:$C$45,MATCH($L29,Rubric!$B$41:$B$45,1)),0))</f>
        <v/>
      </c>
      <c r="AC29" s="45" t="str">
        <f t="array" ref="AC29">IF($A29="","",IFERROR(INDEX(Rubric!$C$49:$C$52,MATCH($N29,Rubric!$B$49:$B$52,0)),0))</f>
        <v/>
      </c>
      <c r="AD29" s="45" t="str">
        <f t="array" ref="AD29">IF($A29="","",IFERROR(INDEX(Rubric!$C$56:$C$59,MATCH($O29,Rubric!$B$56:$B$59,1)),0))</f>
        <v/>
      </c>
      <c r="AE29" s="45" t="str">
        <f t="array" ref="AE29">IF($A29="","",IFERROR(INDEX(Rubric!$C$63:$C$67,MATCH($I29,Rubric!$B$63:$B$67,1)),0))</f>
        <v/>
      </c>
      <c r="AF29" s="45" t="str">
        <f>IF($A29="","",IF($P29="Yes",Rubric!$C$71,0)+IF($R29="Yes",Rubric!$C$72,0)+IF($Q29="Buy 1 Take 1 or better",Rubric!$C$73,0))</f>
        <v/>
      </c>
      <c r="AG29" s="45" t="str">
        <f>IF($A29="","",IFERROR($V29*Rubric!$C$77,0))</f>
        <v/>
      </c>
      <c r="AH29" s="45" t="str">
        <f>IF($A29="","",IF($T29="Yes",Rubric!$C$81,0)+IF($U29="Yes",Rubric!$C$82,0))</f>
        <v/>
      </c>
      <c r="AI29" s="46" t="str">
        <f t="shared" si="2"/>
        <v/>
      </c>
      <c r="AJ29" s="44" t="str">
        <f t="array" ref="AJ29">IF($A29="","",IF($Y29="FAIL","Rejected — failed gate",IFERROR(INDEX(Rubric!$C$86:$C$89,MATCH($AI29,Rubric!$B$86:$B$89,1)),"")))</f>
        <v/>
      </c>
      <c r="AK29" s="47" t="str">
        <f t="shared" si="3"/>
        <v/>
      </c>
    </row>
    <row r="30" ht="15.75" customHeight="1">
      <c r="A30" s="30"/>
      <c r="B30" s="30"/>
      <c r="C30" s="30"/>
      <c r="D30" s="30"/>
      <c r="E30" s="30"/>
      <c r="F30" s="30"/>
      <c r="G30" s="40"/>
      <c r="H30" s="40"/>
      <c r="I30" s="41" t="str">
        <f t="shared" si="1"/>
        <v/>
      </c>
      <c r="J30" s="42"/>
      <c r="K30" s="43"/>
      <c r="L30" s="42"/>
      <c r="M30" s="30"/>
      <c r="N30" s="30"/>
      <c r="O30" s="43"/>
      <c r="P30" s="30"/>
      <c r="Q30" s="30"/>
      <c r="R30" s="30"/>
      <c r="S30" s="30"/>
      <c r="T30" s="30"/>
      <c r="U30" s="30"/>
      <c r="V30" s="30"/>
      <c r="W30" s="34"/>
      <c r="X30" s="34"/>
      <c r="Y30" s="44" t="str">
        <f>IF($A30="","",IF(AND($J30&gt;=Rubric!$B$5,$K30&gt;=Rubric!$B$6,$L30&gt;=Rubric!$B$7,$S30=Rubric!$B$8,OR($N30="Shopee Mall",$N30="Preferred Plus",$N30="Preferred")),"PASS","FAIL"))</f>
        <v/>
      </c>
      <c r="Z30" s="45" t="str">
        <f t="array" ref="Z30">IF($A30="","",IFERROR(INDEX(Rubric!$C$26:$C$30,MATCH($J30,Rubric!$B$26:$B$30,1)),0))</f>
        <v/>
      </c>
      <c r="AA30" s="45" t="str">
        <f t="array" ref="AA30">IF($A30="","",IFERROR(INDEX(Rubric!$C$34:$C$37,MATCH($K30,Rubric!$B$34:$B$37,1)),0))</f>
        <v/>
      </c>
      <c r="AB30" s="45" t="str">
        <f t="array" ref="AB30">IF($A30="","",IFERROR(INDEX(Rubric!$C$41:$C$45,MATCH($L30,Rubric!$B$41:$B$45,1)),0))</f>
        <v/>
      </c>
      <c r="AC30" s="45" t="str">
        <f t="array" ref="AC30">IF($A30="","",IFERROR(INDEX(Rubric!$C$49:$C$52,MATCH($N30,Rubric!$B$49:$B$52,0)),0))</f>
        <v/>
      </c>
      <c r="AD30" s="45" t="str">
        <f t="array" ref="AD30">IF($A30="","",IFERROR(INDEX(Rubric!$C$56:$C$59,MATCH($O30,Rubric!$B$56:$B$59,1)),0))</f>
        <v/>
      </c>
      <c r="AE30" s="45" t="str">
        <f t="array" ref="AE30">IF($A30="","",IFERROR(INDEX(Rubric!$C$63:$C$67,MATCH($I30,Rubric!$B$63:$B$67,1)),0))</f>
        <v/>
      </c>
      <c r="AF30" s="45" t="str">
        <f>IF($A30="","",IF($P30="Yes",Rubric!$C$71,0)+IF($R30="Yes",Rubric!$C$72,0)+IF($Q30="Buy 1 Take 1 or better",Rubric!$C$73,0))</f>
        <v/>
      </c>
      <c r="AG30" s="45" t="str">
        <f>IF($A30="","",IFERROR($V30*Rubric!$C$77,0))</f>
        <v/>
      </c>
      <c r="AH30" s="45" t="str">
        <f>IF($A30="","",IF($T30="Yes",Rubric!$C$81,0)+IF($U30="Yes",Rubric!$C$82,0))</f>
        <v/>
      </c>
      <c r="AI30" s="46" t="str">
        <f t="shared" si="2"/>
        <v/>
      </c>
      <c r="AJ30" s="44" t="str">
        <f t="array" ref="AJ30">IF($A30="","",IF($Y30="FAIL","Rejected — failed gate",IFERROR(INDEX(Rubric!$C$86:$C$89,MATCH($AI30,Rubric!$B$86:$B$89,1)),"")))</f>
        <v/>
      </c>
      <c r="AK30" s="47" t="str">
        <f t="shared" si="3"/>
        <v/>
      </c>
    </row>
    <row r="31" ht="15.75" customHeight="1">
      <c r="A31" s="30"/>
      <c r="B31" s="30"/>
      <c r="C31" s="30"/>
      <c r="D31" s="30"/>
      <c r="E31" s="30"/>
      <c r="F31" s="30"/>
      <c r="G31" s="40"/>
      <c r="H31" s="40"/>
      <c r="I31" s="41" t="str">
        <f t="shared" si="1"/>
        <v/>
      </c>
      <c r="J31" s="42"/>
      <c r="K31" s="43"/>
      <c r="L31" s="42"/>
      <c r="M31" s="30"/>
      <c r="N31" s="30"/>
      <c r="O31" s="43"/>
      <c r="P31" s="30"/>
      <c r="Q31" s="30"/>
      <c r="R31" s="30"/>
      <c r="S31" s="30"/>
      <c r="T31" s="30"/>
      <c r="U31" s="30"/>
      <c r="V31" s="30"/>
      <c r="W31" s="34"/>
      <c r="X31" s="34"/>
      <c r="Y31" s="44" t="str">
        <f>IF($A31="","",IF(AND($J31&gt;=Rubric!$B$5,$K31&gt;=Rubric!$B$6,$L31&gt;=Rubric!$B$7,$S31=Rubric!$B$8,OR($N31="Shopee Mall",$N31="Preferred Plus",$N31="Preferred")),"PASS","FAIL"))</f>
        <v/>
      </c>
      <c r="Z31" s="45" t="str">
        <f t="array" ref="Z31">IF($A31="","",IFERROR(INDEX(Rubric!$C$26:$C$30,MATCH($J31,Rubric!$B$26:$B$30,1)),0))</f>
        <v/>
      </c>
      <c r="AA31" s="45" t="str">
        <f t="array" ref="AA31">IF($A31="","",IFERROR(INDEX(Rubric!$C$34:$C$37,MATCH($K31,Rubric!$B$34:$B$37,1)),0))</f>
        <v/>
      </c>
      <c r="AB31" s="45" t="str">
        <f t="array" ref="AB31">IF($A31="","",IFERROR(INDEX(Rubric!$C$41:$C$45,MATCH($L31,Rubric!$B$41:$B$45,1)),0))</f>
        <v/>
      </c>
      <c r="AC31" s="45" t="str">
        <f t="array" ref="AC31">IF($A31="","",IFERROR(INDEX(Rubric!$C$49:$C$52,MATCH($N31,Rubric!$B$49:$B$52,0)),0))</f>
        <v/>
      </c>
      <c r="AD31" s="45" t="str">
        <f t="array" ref="AD31">IF($A31="","",IFERROR(INDEX(Rubric!$C$56:$C$59,MATCH($O31,Rubric!$B$56:$B$59,1)),0))</f>
        <v/>
      </c>
      <c r="AE31" s="45" t="str">
        <f t="array" ref="AE31">IF($A31="","",IFERROR(INDEX(Rubric!$C$63:$C$67,MATCH($I31,Rubric!$B$63:$B$67,1)),0))</f>
        <v/>
      </c>
      <c r="AF31" s="45" t="str">
        <f>IF($A31="","",IF($P31="Yes",Rubric!$C$71,0)+IF($R31="Yes",Rubric!$C$72,0)+IF($Q31="Buy 1 Take 1 or better",Rubric!$C$73,0))</f>
        <v/>
      </c>
      <c r="AG31" s="45" t="str">
        <f>IF($A31="","",IFERROR($V31*Rubric!$C$77,0))</f>
        <v/>
      </c>
      <c r="AH31" s="45" t="str">
        <f>IF($A31="","",IF($T31="Yes",Rubric!$C$81,0)+IF($U31="Yes",Rubric!$C$82,0))</f>
        <v/>
      </c>
      <c r="AI31" s="46" t="str">
        <f t="shared" si="2"/>
        <v/>
      </c>
      <c r="AJ31" s="44" t="str">
        <f t="array" ref="AJ31">IF($A31="","",IF($Y31="FAIL","Rejected — failed gate",IFERROR(INDEX(Rubric!$C$86:$C$89,MATCH($AI31,Rubric!$B$86:$B$89,1)),"")))</f>
        <v/>
      </c>
      <c r="AK31" s="47" t="str">
        <f t="shared" si="3"/>
        <v/>
      </c>
    </row>
    <row r="32" ht="15.75" customHeight="1">
      <c r="A32" s="30"/>
      <c r="B32" s="30"/>
      <c r="C32" s="30"/>
      <c r="D32" s="30"/>
      <c r="E32" s="30"/>
      <c r="F32" s="30"/>
      <c r="G32" s="40"/>
      <c r="H32" s="40"/>
      <c r="I32" s="41" t="str">
        <f t="shared" si="1"/>
        <v/>
      </c>
      <c r="J32" s="42"/>
      <c r="K32" s="43"/>
      <c r="L32" s="42"/>
      <c r="M32" s="30"/>
      <c r="N32" s="30"/>
      <c r="O32" s="43"/>
      <c r="P32" s="30"/>
      <c r="Q32" s="30"/>
      <c r="R32" s="30"/>
      <c r="S32" s="30"/>
      <c r="T32" s="30"/>
      <c r="U32" s="30"/>
      <c r="V32" s="30"/>
      <c r="W32" s="34"/>
      <c r="X32" s="34"/>
      <c r="Y32" s="44" t="str">
        <f>IF($A32="","",IF(AND($J32&gt;=Rubric!$B$5,$K32&gt;=Rubric!$B$6,$L32&gt;=Rubric!$B$7,$S32=Rubric!$B$8,OR($N32="Shopee Mall",$N32="Preferred Plus",$N32="Preferred")),"PASS","FAIL"))</f>
        <v/>
      </c>
      <c r="Z32" s="45" t="str">
        <f t="array" ref="Z32">IF($A32="","",IFERROR(INDEX(Rubric!$C$26:$C$30,MATCH($J32,Rubric!$B$26:$B$30,1)),0))</f>
        <v/>
      </c>
      <c r="AA32" s="45" t="str">
        <f t="array" ref="AA32">IF($A32="","",IFERROR(INDEX(Rubric!$C$34:$C$37,MATCH($K32,Rubric!$B$34:$B$37,1)),0))</f>
        <v/>
      </c>
      <c r="AB32" s="45" t="str">
        <f t="array" ref="AB32">IF($A32="","",IFERROR(INDEX(Rubric!$C$41:$C$45,MATCH($L32,Rubric!$B$41:$B$45,1)),0))</f>
        <v/>
      </c>
      <c r="AC32" s="45" t="str">
        <f t="array" ref="AC32">IF($A32="","",IFERROR(INDEX(Rubric!$C$49:$C$52,MATCH($N32,Rubric!$B$49:$B$52,0)),0))</f>
        <v/>
      </c>
      <c r="AD32" s="45" t="str">
        <f t="array" ref="AD32">IF($A32="","",IFERROR(INDEX(Rubric!$C$56:$C$59,MATCH($O32,Rubric!$B$56:$B$59,1)),0))</f>
        <v/>
      </c>
      <c r="AE32" s="45" t="str">
        <f t="array" ref="AE32">IF($A32="","",IFERROR(INDEX(Rubric!$C$63:$C$67,MATCH($I32,Rubric!$B$63:$B$67,1)),0))</f>
        <v/>
      </c>
      <c r="AF32" s="45" t="str">
        <f>IF($A32="","",IF($P32="Yes",Rubric!$C$71,0)+IF($R32="Yes",Rubric!$C$72,0)+IF($Q32="Buy 1 Take 1 or better",Rubric!$C$73,0))</f>
        <v/>
      </c>
      <c r="AG32" s="45" t="str">
        <f>IF($A32="","",IFERROR($V32*Rubric!$C$77,0))</f>
        <v/>
      </c>
      <c r="AH32" s="45" t="str">
        <f>IF($A32="","",IF($T32="Yes",Rubric!$C$81,0)+IF($U32="Yes",Rubric!$C$82,0))</f>
        <v/>
      </c>
      <c r="AI32" s="46" t="str">
        <f t="shared" si="2"/>
        <v/>
      </c>
      <c r="AJ32" s="44" t="str">
        <f t="array" ref="AJ32">IF($A32="","",IF($Y32="FAIL","Rejected — failed gate",IFERROR(INDEX(Rubric!$C$86:$C$89,MATCH($AI32,Rubric!$B$86:$B$89,1)),"")))</f>
        <v/>
      </c>
      <c r="AK32" s="47" t="str">
        <f t="shared" si="3"/>
        <v/>
      </c>
    </row>
    <row r="33" ht="15.75" customHeight="1">
      <c r="A33" s="30"/>
      <c r="B33" s="30"/>
      <c r="C33" s="30"/>
      <c r="D33" s="30"/>
      <c r="E33" s="30"/>
      <c r="F33" s="30"/>
      <c r="G33" s="40"/>
      <c r="H33" s="40"/>
      <c r="I33" s="41" t="str">
        <f t="shared" si="1"/>
        <v/>
      </c>
      <c r="J33" s="42"/>
      <c r="K33" s="43"/>
      <c r="L33" s="42"/>
      <c r="M33" s="30"/>
      <c r="N33" s="30"/>
      <c r="O33" s="43"/>
      <c r="P33" s="30"/>
      <c r="Q33" s="30"/>
      <c r="R33" s="30"/>
      <c r="S33" s="30"/>
      <c r="T33" s="30"/>
      <c r="U33" s="30"/>
      <c r="V33" s="30"/>
      <c r="W33" s="34"/>
      <c r="X33" s="34"/>
      <c r="Y33" s="44" t="str">
        <f>IF($A33="","",IF(AND($J33&gt;=Rubric!$B$5,$K33&gt;=Rubric!$B$6,$L33&gt;=Rubric!$B$7,$S33=Rubric!$B$8,OR($N33="Shopee Mall",$N33="Preferred Plus",$N33="Preferred")),"PASS","FAIL"))</f>
        <v/>
      </c>
      <c r="Z33" s="45" t="str">
        <f t="array" ref="Z33">IF($A33="","",IFERROR(INDEX(Rubric!$C$26:$C$30,MATCH($J33,Rubric!$B$26:$B$30,1)),0))</f>
        <v/>
      </c>
      <c r="AA33" s="45" t="str">
        <f t="array" ref="AA33">IF($A33="","",IFERROR(INDEX(Rubric!$C$34:$C$37,MATCH($K33,Rubric!$B$34:$B$37,1)),0))</f>
        <v/>
      </c>
      <c r="AB33" s="45" t="str">
        <f t="array" ref="AB33">IF($A33="","",IFERROR(INDEX(Rubric!$C$41:$C$45,MATCH($L33,Rubric!$B$41:$B$45,1)),0))</f>
        <v/>
      </c>
      <c r="AC33" s="45" t="str">
        <f t="array" ref="AC33">IF($A33="","",IFERROR(INDEX(Rubric!$C$49:$C$52,MATCH($N33,Rubric!$B$49:$B$52,0)),0))</f>
        <v/>
      </c>
      <c r="AD33" s="45" t="str">
        <f t="array" ref="AD33">IF($A33="","",IFERROR(INDEX(Rubric!$C$56:$C$59,MATCH($O33,Rubric!$B$56:$B$59,1)),0))</f>
        <v/>
      </c>
      <c r="AE33" s="45" t="str">
        <f t="array" ref="AE33">IF($A33="","",IFERROR(INDEX(Rubric!$C$63:$C$67,MATCH($I33,Rubric!$B$63:$B$67,1)),0))</f>
        <v/>
      </c>
      <c r="AF33" s="45" t="str">
        <f>IF($A33="","",IF($P33="Yes",Rubric!$C$71,0)+IF($R33="Yes",Rubric!$C$72,0)+IF($Q33="Buy 1 Take 1 or better",Rubric!$C$73,0))</f>
        <v/>
      </c>
      <c r="AG33" s="45" t="str">
        <f>IF($A33="","",IFERROR($V33*Rubric!$C$77,0))</f>
        <v/>
      </c>
      <c r="AH33" s="45" t="str">
        <f>IF($A33="","",IF($T33="Yes",Rubric!$C$81,0)+IF($U33="Yes",Rubric!$C$82,0))</f>
        <v/>
      </c>
      <c r="AI33" s="46" t="str">
        <f t="shared" si="2"/>
        <v/>
      </c>
      <c r="AJ33" s="44" t="str">
        <f t="array" ref="AJ33">IF($A33="","",IF($Y33="FAIL","Rejected — failed gate",IFERROR(INDEX(Rubric!$C$86:$C$89,MATCH($AI33,Rubric!$B$86:$B$89,1)),"")))</f>
        <v/>
      </c>
      <c r="AK33" s="47" t="str">
        <f t="shared" si="3"/>
        <v/>
      </c>
    </row>
    <row r="34" ht="15.75" customHeight="1">
      <c r="A34" s="30"/>
      <c r="B34" s="30"/>
      <c r="C34" s="30"/>
      <c r="D34" s="30"/>
      <c r="E34" s="30"/>
      <c r="F34" s="30"/>
      <c r="G34" s="40"/>
      <c r="H34" s="40"/>
      <c r="I34" s="41" t="str">
        <f t="shared" si="1"/>
        <v/>
      </c>
      <c r="J34" s="42"/>
      <c r="K34" s="43"/>
      <c r="L34" s="42"/>
      <c r="M34" s="30"/>
      <c r="N34" s="30"/>
      <c r="O34" s="43"/>
      <c r="P34" s="30"/>
      <c r="Q34" s="30"/>
      <c r="R34" s="30"/>
      <c r="S34" s="30"/>
      <c r="T34" s="30"/>
      <c r="U34" s="30"/>
      <c r="V34" s="30"/>
      <c r="W34" s="34"/>
      <c r="X34" s="34"/>
      <c r="Y34" s="44" t="str">
        <f>IF($A34="","",IF(AND($J34&gt;=Rubric!$B$5,$K34&gt;=Rubric!$B$6,$L34&gt;=Rubric!$B$7,$S34=Rubric!$B$8,OR($N34="Shopee Mall",$N34="Preferred Plus",$N34="Preferred")),"PASS","FAIL"))</f>
        <v/>
      </c>
      <c r="Z34" s="45" t="str">
        <f t="array" ref="Z34">IF($A34="","",IFERROR(INDEX(Rubric!$C$26:$C$30,MATCH($J34,Rubric!$B$26:$B$30,1)),0))</f>
        <v/>
      </c>
      <c r="AA34" s="45" t="str">
        <f t="array" ref="AA34">IF($A34="","",IFERROR(INDEX(Rubric!$C$34:$C$37,MATCH($K34,Rubric!$B$34:$B$37,1)),0))</f>
        <v/>
      </c>
      <c r="AB34" s="45" t="str">
        <f t="array" ref="AB34">IF($A34="","",IFERROR(INDEX(Rubric!$C$41:$C$45,MATCH($L34,Rubric!$B$41:$B$45,1)),0))</f>
        <v/>
      </c>
      <c r="AC34" s="45" t="str">
        <f t="array" ref="AC34">IF($A34="","",IFERROR(INDEX(Rubric!$C$49:$C$52,MATCH($N34,Rubric!$B$49:$B$52,0)),0))</f>
        <v/>
      </c>
      <c r="AD34" s="45" t="str">
        <f t="array" ref="AD34">IF($A34="","",IFERROR(INDEX(Rubric!$C$56:$C$59,MATCH($O34,Rubric!$B$56:$B$59,1)),0))</f>
        <v/>
      </c>
      <c r="AE34" s="45" t="str">
        <f t="array" ref="AE34">IF($A34="","",IFERROR(INDEX(Rubric!$C$63:$C$67,MATCH($I34,Rubric!$B$63:$B$67,1)),0))</f>
        <v/>
      </c>
      <c r="AF34" s="45" t="str">
        <f>IF($A34="","",IF($P34="Yes",Rubric!$C$71,0)+IF($R34="Yes",Rubric!$C$72,0)+IF($Q34="Buy 1 Take 1 or better",Rubric!$C$73,0))</f>
        <v/>
      </c>
      <c r="AG34" s="45" t="str">
        <f>IF($A34="","",IFERROR($V34*Rubric!$C$77,0))</f>
        <v/>
      </c>
      <c r="AH34" s="45" t="str">
        <f>IF($A34="","",IF($T34="Yes",Rubric!$C$81,0)+IF($U34="Yes",Rubric!$C$82,0))</f>
        <v/>
      </c>
      <c r="AI34" s="46" t="str">
        <f t="shared" si="2"/>
        <v/>
      </c>
      <c r="AJ34" s="44" t="str">
        <f t="array" ref="AJ34">IF($A34="","",IF($Y34="FAIL","Rejected — failed gate",IFERROR(INDEX(Rubric!$C$86:$C$89,MATCH($AI34,Rubric!$B$86:$B$89,1)),"")))</f>
        <v/>
      </c>
      <c r="AK34" s="47" t="str">
        <f t="shared" si="3"/>
        <v/>
      </c>
    </row>
    <row r="35" ht="15.75" customHeight="1">
      <c r="A35" s="30"/>
      <c r="B35" s="30"/>
      <c r="C35" s="30"/>
      <c r="D35" s="30"/>
      <c r="E35" s="30"/>
      <c r="F35" s="30"/>
      <c r="G35" s="40"/>
      <c r="H35" s="40"/>
      <c r="I35" s="41" t="str">
        <f t="shared" si="1"/>
        <v/>
      </c>
      <c r="J35" s="42"/>
      <c r="K35" s="43"/>
      <c r="L35" s="42"/>
      <c r="M35" s="30"/>
      <c r="N35" s="30"/>
      <c r="O35" s="43"/>
      <c r="P35" s="30"/>
      <c r="Q35" s="30"/>
      <c r="R35" s="30"/>
      <c r="S35" s="30"/>
      <c r="T35" s="30"/>
      <c r="U35" s="30"/>
      <c r="V35" s="30"/>
      <c r="W35" s="34"/>
      <c r="X35" s="34"/>
      <c r="Y35" s="44" t="str">
        <f>IF($A35="","",IF(AND($J35&gt;=Rubric!$B$5,$K35&gt;=Rubric!$B$6,$L35&gt;=Rubric!$B$7,$S35=Rubric!$B$8,OR($N35="Shopee Mall",$N35="Preferred Plus",$N35="Preferred")),"PASS","FAIL"))</f>
        <v/>
      </c>
      <c r="Z35" s="45" t="str">
        <f t="array" ref="Z35">IF($A35="","",IFERROR(INDEX(Rubric!$C$26:$C$30,MATCH($J35,Rubric!$B$26:$B$30,1)),0))</f>
        <v/>
      </c>
      <c r="AA35" s="45" t="str">
        <f t="array" ref="AA35">IF($A35="","",IFERROR(INDEX(Rubric!$C$34:$C$37,MATCH($K35,Rubric!$B$34:$B$37,1)),0))</f>
        <v/>
      </c>
      <c r="AB35" s="45" t="str">
        <f t="array" ref="AB35">IF($A35="","",IFERROR(INDEX(Rubric!$C$41:$C$45,MATCH($L35,Rubric!$B$41:$B$45,1)),0))</f>
        <v/>
      </c>
      <c r="AC35" s="45" t="str">
        <f t="array" ref="AC35">IF($A35="","",IFERROR(INDEX(Rubric!$C$49:$C$52,MATCH($N35,Rubric!$B$49:$B$52,0)),0))</f>
        <v/>
      </c>
      <c r="AD35" s="45" t="str">
        <f t="array" ref="AD35">IF($A35="","",IFERROR(INDEX(Rubric!$C$56:$C$59,MATCH($O35,Rubric!$B$56:$B$59,1)),0))</f>
        <v/>
      </c>
      <c r="AE35" s="45" t="str">
        <f t="array" ref="AE35">IF($A35="","",IFERROR(INDEX(Rubric!$C$63:$C$67,MATCH($I35,Rubric!$B$63:$B$67,1)),0))</f>
        <v/>
      </c>
      <c r="AF35" s="45" t="str">
        <f>IF($A35="","",IF($P35="Yes",Rubric!$C$71,0)+IF($R35="Yes",Rubric!$C$72,0)+IF($Q35="Buy 1 Take 1 or better",Rubric!$C$73,0))</f>
        <v/>
      </c>
      <c r="AG35" s="45" t="str">
        <f>IF($A35="","",IFERROR($V35*Rubric!$C$77,0))</f>
        <v/>
      </c>
      <c r="AH35" s="45" t="str">
        <f>IF($A35="","",IF($T35="Yes",Rubric!$C$81,0)+IF($U35="Yes",Rubric!$C$82,0))</f>
        <v/>
      </c>
      <c r="AI35" s="46" t="str">
        <f t="shared" si="2"/>
        <v/>
      </c>
      <c r="AJ35" s="44" t="str">
        <f t="array" ref="AJ35">IF($A35="","",IF($Y35="FAIL","Rejected — failed gate",IFERROR(INDEX(Rubric!$C$86:$C$89,MATCH($AI35,Rubric!$B$86:$B$89,1)),"")))</f>
        <v/>
      </c>
      <c r="AK35" s="47" t="str">
        <f t="shared" si="3"/>
        <v/>
      </c>
    </row>
    <row r="36" ht="15.75" customHeight="1">
      <c r="A36" s="30"/>
      <c r="B36" s="30"/>
      <c r="C36" s="30"/>
      <c r="D36" s="30"/>
      <c r="E36" s="30"/>
      <c r="F36" s="30"/>
      <c r="G36" s="40"/>
      <c r="H36" s="40"/>
      <c r="I36" s="41" t="str">
        <f t="shared" si="1"/>
        <v/>
      </c>
      <c r="J36" s="42"/>
      <c r="K36" s="43"/>
      <c r="L36" s="42"/>
      <c r="M36" s="30"/>
      <c r="N36" s="30"/>
      <c r="O36" s="43"/>
      <c r="P36" s="30"/>
      <c r="Q36" s="30"/>
      <c r="R36" s="30"/>
      <c r="S36" s="30"/>
      <c r="T36" s="30"/>
      <c r="U36" s="30"/>
      <c r="V36" s="30"/>
      <c r="W36" s="34"/>
      <c r="X36" s="34"/>
      <c r="Y36" s="44" t="str">
        <f>IF($A36="","",IF(AND($J36&gt;=Rubric!$B$5,$K36&gt;=Rubric!$B$6,$L36&gt;=Rubric!$B$7,$S36=Rubric!$B$8,OR($N36="Shopee Mall",$N36="Preferred Plus",$N36="Preferred")),"PASS","FAIL"))</f>
        <v/>
      </c>
      <c r="Z36" s="45" t="str">
        <f t="array" ref="Z36">IF($A36="","",IFERROR(INDEX(Rubric!$C$26:$C$30,MATCH($J36,Rubric!$B$26:$B$30,1)),0))</f>
        <v/>
      </c>
      <c r="AA36" s="45" t="str">
        <f t="array" ref="AA36">IF($A36="","",IFERROR(INDEX(Rubric!$C$34:$C$37,MATCH($K36,Rubric!$B$34:$B$37,1)),0))</f>
        <v/>
      </c>
      <c r="AB36" s="45" t="str">
        <f t="array" ref="AB36">IF($A36="","",IFERROR(INDEX(Rubric!$C$41:$C$45,MATCH($L36,Rubric!$B$41:$B$45,1)),0))</f>
        <v/>
      </c>
      <c r="AC36" s="45" t="str">
        <f t="array" ref="AC36">IF($A36="","",IFERROR(INDEX(Rubric!$C$49:$C$52,MATCH($N36,Rubric!$B$49:$B$52,0)),0))</f>
        <v/>
      </c>
      <c r="AD36" s="45" t="str">
        <f t="array" ref="AD36">IF($A36="","",IFERROR(INDEX(Rubric!$C$56:$C$59,MATCH($O36,Rubric!$B$56:$B$59,1)),0))</f>
        <v/>
      </c>
      <c r="AE36" s="45" t="str">
        <f t="array" ref="AE36">IF($A36="","",IFERROR(INDEX(Rubric!$C$63:$C$67,MATCH($I36,Rubric!$B$63:$B$67,1)),0))</f>
        <v/>
      </c>
      <c r="AF36" s="45" t="str">
        <f>IF($A36="","",IF($P36="Yes",Rubric!$C$71,0)+IF($R36="Yes",Rubric!$C$72,0)+IF($Q36="Buy 1 Take 1 or better",Rubric!$C$73,0))</f>
        <v/>
      </c>
      <c r="AG36" s="45" t="str">
        <f>IF($A36="","",IFERROR($V36*Rubric!$C$77,0))</f>
        <v/>
      </c>
      <c r="AH36" s="45" t="str">
        <f>IF($A36="","",IF($T36="Yes",Rubric!$C$81,0)+IF($U36="Yes",Rubric!$C$82,0))</f>
        <v/>
      </c>
      <c r="AI36" s="46" t="str">
        <f t="shared" si="2"/>
        <v/>
      </c>
      <c r="AJ36" s="44" t="str">
        <f t="array" ref="AJ36">IF($A36="","",IF($Y36="FAIL","Rejected — failed gate",IFERROR(INDEX(Rubric!$C$86:$C$89,MATCH($AI36,Rubric!$B$86:$B$89,1)),"")))</f>
        <v/>
      </c>
      <c r="AK36" s="47" t="str">
        <f t="shared" si="3"/>
        <v/>
      </c>
    </row>
    <row r="37" ht="15.75" customHeight="1">
      <c r="A37" s="30"/>
      <c r="B37" s="30"/>
      <c r="C37" s="30"/>
      <c r="D37" s="30"/>
      <c r="E37" s="30"/>
      <c r="F37" s="30"/>
      <c r="G37" s="40"/>
      <c r="H37" s="40"/>
      <c r="I37" s="41" t="str">
        <f t="shared" si="1"/>
        <v/>
      </c>
      <c r="J37" s="42"/>
      <c r="K37" s="43"/>
      <c r="L37" s="42"/>
      <c r="M37" s="30"/>
      <c r="N37" s="30"/>
      <c r="O37" s="43"/>
      <c r="P37" s="30"/>
      <c r="Q37" s="30"/>
      <c r="R37" s="30"/>
      <c r="S37" s="30"/>
      <c r="T37" s="30"/>
      <c r="U37" s="30"/>
      <c r="V37" s="30"/>
      <c r="W37" s="34"/>
      <c r="X37" s="34"/>
      <c r="Y37" s="44" t="str">
        <f>IF($A37="","",IF(AND($J37&gt;=Rubric!$B$5,$K37&gt;=Rubric!$B$6,$L37&gt;=Rubric!$B$7,$S37=Rubric!$B$8,OR($N37="Shopee Mall",$N37="Preferred Plus",$N37="Preferred")),"PASS","FAIL"))</f>
        <v/>
      </c>
      <c r="Z37" s="45" t="str">
        <f t="array" ref="Z37">IF($A37="","",IFERROR(INDEX(Rubric!$C$26:$C$30,MATCH($J37,Rubric!$B$26:$B$30,1)),0))</f>
        <v/>
      </c>
      <c r="AA37" s="45" t="str">
        <f t="array" ref="AA37">IF($A37="","",IFERROR(INDEX(Rubric!$C$34:$C$37,MATCH($K37,Rubric!$B$34:$B$37,1)),0))</f>
        <v/>
      </c>
      <c r="AB37" s="45" t="str">
        <f t="array" ref="AB37">IF($A37="","",IFERROR(INDEX(Rubric!$C$41:$C$45,MATCH($L37,Rubric!$B$41:$B$45,1)),0))</f>
        <v/>
      </c>
      <c r="AC37" s="45" t="str">
        <f t="array" ref="AC37">IF($A37="","",IFERROR(INDEX(Rubric!$C$49:$C$52,MATCH($N37,Rubric!$B$49:$B$52,0)),0))</f>
        <v/>
      </c>
      <c r="AD37" s="45" t="str">
        <f t="array" ref="AD37">IF($A37="","",IFERROR(INDEX(Rubric!$C$56:$C$59,MATCH($O37,Rubric!$B$56:$B$59,1)),0))</f>
        <v/>
      </c>
      <c r="AE37" s="45" t="str">
        <f t="array" ref="AE37">IF($A37="","",IFERROR(INDEX(Rubric!$C$63:$C$67,MATCH($I37,Rubric!$B$63:$B$67,1)),0))</f>
        <v/>
      </c>
      <c r="AF37" s="45" t="str">
        <f>IF($A37="","",IF($P37="Yes",Rubric!$C$71,0)+IF($R37="Yes",Rubric!$C$72,0)+IF($Q37="Buy 1 Take 1 or better",Rubric!$C$73,0))</f>
        <v/>
      </c>
      <c r="AG37" s="45" t="str">
        <f>IF($A37="","",IFERROR($V37*Rubric!$C$77,0))</f>
        <v/>
      </c>
      <c r="AH37" s="45" t="str">
        <f>IF($A37="","",IF($T37="Yes",Rubric!$C$81,0)+IF($U37="Yes",Rubric!$C$82,0))</f>
        <v/>
      </c>
      <c r="AI37" s="46" t="str">
        <f t="shared" si="2"/>
        <v/>
      </c>
      <c r="AJ37" s="44" t="str">
        <f t="array" ref="AJ37">IF($A37="","",IF($Y37="FAIL","Rejected — failed gate",IFERROR(INDEX(Rubric!$C$86:$C$89,MATCH($AI37,Rubric!$B$86:$B$89,1)),"")))</f>
        <v/>
      </c>
      <c r="AK37" s="47" t="str">
        <f t="shared" si="3"/>
        <v/>
      </c>
    </row>
    <row r="38" ht="15.75" customHeight="1">
      <c r="A38" s="30"/>
      <c r="B38" s="30"/>
      <c r="C38" s="30"/>
      <c r="D38" s="30"/>
      <c r="E38" s="30"/>
      <c r="F38" s="30"/>
      <c r="G38" s="40"/>
      <c r="H38" s="40"/>
      <c r="I38" s="41" t="str">
        <f t="shared" si="1"/>
        <v/>
      </c>
      <c r="J38" s="42"/>
      <c r="K38" s="43"/>
      <c r="L38" s="42"/>
      <c r="M38" s="30"/>
      <c r="N38" s="30"/>
      <c r="O38" s="43"/>
      <c r="P38" s="30"/>
      <c r="Q38" s="30"/>
      <c r="R38" s="30"/>
      <c r="S38" s="30"/>
      <c r="T38" s="30"/>
      <c r="U38" s="30"/>
      <c r="V38" s="30"/>
      <c r="W38" s="34"/>
      <c r="X38" s="34"/>
      <c r="Y38" s="44" t="str">
        <f>IF($A38="","",IF(AND($J38&gt;=Rubric!$B$5,$K38&gt;=Rubric!$B$6,$L38&gt;=Rubric!$B$7,$S38=Rubric!$B$8,OR($N38="Shopee Mall",$N38="Preferred Plus",$N38="Preferred")),"PASS","FAIL"))</f>
        <v/>
      </c>
      <c r="Z38" s="45" t="str">
        <f t="array" ref="Z38">IF($A38="","",IFERROR(INDEX(Rubric!$C$26:$C$30,MATCH($J38,Rubric!$B$26:$B$30,1)),0))</f>
        <v/>
      </c>
      <c r="AA38" s="45" t="str">
        <f t="array" ref="AA38">IF($A38="","",IFERROR(INDEX(Rubric!$C$34:$C$37,MATCH($K38,Rubric!$B$34:$B$37,1)),0))</f>
        <v/>
      </c>
      <c r="AB38" s="45" t="str">
        <f t="array" ref="AB38">IF($A38="","",IFERROR(INDEX(Rubric!$C$41:$C$45,MATCH($L38,Rubric!$B$41:$B$45,1)),0))</f>
        <v/>
      </c>
      <c r="AC38" s="45" t="str">
        <f t="array" ref="AC38">IF($A38="","",IFERROR(INDEX(Rubric!$C$49:$C$52,MATCH($N38,Rubric!$B$49:$B$52,0)),0))</f>
        <v/>
      </c>
      <c r="AD38" s="45" t="str">
        <f t="array" ref="AD38">IF($A38="","",IFERROR(INDEX(Rubric!$C$56:$C$59,MATCH($O38,Rubric!$B$56:$B$59,1)),0))</f>
        <v/>
      </c>
      <c r="AE38" s="45" t="str">
        <f t="array" ref="AE38">IF($A38="","",IFERROR(INDEX(Rubric!$C$63:$C$67,MATCH($I38,Rubric!$B$63:$B$67,1)),0))</f>
        <v/>
      </c>
      <c r="AF38" s="45" t="str">
        <f>IF($A38="","",IF($P38="Yes",Rubric!$C$71,0)+IF($R38="Yes",Rubric!$C$72,0)+IF($Q38="Buy 1 Take 1 or better",Rubric!$C$73,0))</f>
        <v/>
      </c>
      <c r="AG38" s="45" t="str">
        <f>IF($A38="","",IFERROR($V38*Rubric!$C$77,0))</f>
        <v/>
      </c>
      <c r="AH38" s="45" t="str">
        <f>IF($A38="","",IF($T38="Yes",Rubric!$C$81,0)+IF($U38="Yes",Rubric!$C$82,0))</f>
        <v/>
      </c>
      <c r="AI38" s="46" t="str">
        <f t="shared" si="2"/>
        <v/>
      </c>
      <c r="AJ38" s="44" t="str">
        <f t="array" ref="AJ38">IF($A38="","",IF($Y38="FAIL","Rejected — failed gate",IFERROR(INDEX(Rubric!$C$86:$C$89,MATCH($AI38,Rubric!$B$86:$B$89,1)),"")))</f>
        <v/>
      </c>
      <c r="AK38" s="47" t="str">
        <f t="shared" si="3"/>
        <v/>
      </c>
    </row>
    <row r="39" ht="15.75" customHeight="1">
      <c r="A39" s="30"/>
      <c r="B39" s="30"/>
      <c r="C39" s="30"/>
      <c r="D39" s="30"/>
      <c r="E39" s="30"/>
      <c r="F39" s="30"/>
      <c r="G39" s="40"/>
      <c r="H39" s="40"/>
      <c r="I39" s="41" t="str">
        <f t="shared" si="1"/>
        <v/>
      </c>
      <c r="J39" s="42"/>
      <c r="K39" s="43"/>
      <c r="L39" s="42"/>
      <c r="M39" s="30"/>
      <c r="N39" s="30"/>
      <c r="O39" s="43"/>
      <c r="P39" s="30"/>
      <c r="Q39" s="30"/>
      <c r="R39" s="30"/>
      <c r="S39" s="30"/>
      <c r="T39" s="30"/>
      <c r="U39" s="30"/>
      <c r="V39" s="30"/>
      <c r="W39" s="34"/>
      <c r="X39" s="34"/>
      <c r="Y39" s="44" t="str">
        <f>IF($A39="","",IF(AND($J39&gt;=Rubric!$B$5,$K39&gt;=Rubric!$B$6,$L39&gt;=Rubric!$B$7,$S39=Rubric!$B$8,OR($N39="Shopee Mall",$N39="Preferred Plus",$N39="Preferred")),"PASS","FAIL"))</f>
        <v/>
      </c>
      <c r="Z39" s="45" t="str">
        <f t="array" ref="Z39">IF($A39="","",IFERROR(INDEX(Rubric!$C$26:$C$30,MATCH($J39,Rubric!$B$26:$B$30,1)),0))</f>
        <v/>
      </c>
      <c r="AA39" s="45" t="str">
        <f t="array" ref="AA39">IF($A39="","",IFERROR(INDEX(Rubric!$C$34:$C$37,MATCH($K39,Rubric!$B$34:$B$37,1)),0))</f>
        <v/>
      </c>
      <c r="AB39" s="45" t="str">
        <f t="array" ref="AB39">IF($A39="","",IFERROR(INDEX(Rubric!$C$41:$C$45,MATCH($L39,Rubric!$B$41:$B$45,1)),0))</f>
        <v/>
      </c>
      <c r="AC39" s="45" t="str">
        <f t="array" ref="AC39">IF($A39="","",IFERROR(INDEX(Rubric!$C$49:$C$52,MATCH($N39,Rubric!$B$49:$B$52,0)),0))</f>
        <v/>
      </c>
      <c r="AD39" s="45" t="str">
        <f t="array" ref="AD39">IF($A39="","",IFERROR(INDEX(Rubric!$C$56:$C$59,MATCH($O39,Rubric!$B$56:$B$59,1)),0))</f>
        <v/>
      </c>
      <c r="AE39" s="45" t="str">
        <f t="array" ref="AE39">IF($A39="","",IFERROR(INDEX(Rubric!$C$63:$C$67,MATCH($I39,Rubric!$B$63:$B$67,1)),0))</f>
        <v/>
      </c>
      <c r="AF39" s="45" t="str">
        <f>IF($A39="","",IF($P39="Yes",Rubric!$C$71,0)+IF($R39="Yes",Rubric!$C$72,0)+IF($Q39="Buy 1 Take 1 or better",Rubric!$C$73,0))</f>
        <v/>
      </c>
      <c r="AG39" s="45" t="str">
        <f>IF($A39="","",IFERROR($V39*Rubric!$C$77,0))</f>
        <v/>
      </c>
      <c r="AH39" s="45" t="str">
        <f>IF($A39="","",IF($T39="Yes",Rubric!$C$81,0)+IF($U39="Yes",Rubric!$C$82,0))</f>
        <v/>
      </c>
      <c r="AI39" s="46" t="str">
        <f t="shared" si="2"/>
        <v/>
      </c>
      <c r="AJ39" s="44" t="str">
        <f t="array" ref="AJ39">IF($A39="","",IF($Y39="FAIL","Rejected — failed gate",IFERROR(INDEX(Rubric!$C$86:$C$89,MATCH($AI39,Rubric!$B$86:$B$89,1)),"")))</f>
        <v/>
      </c>
      <c r="AK39" s="47" t="str">
        <f t="shared" si="3"/>
        <v/>
      </c>
    </row>
    <row r="40" ht="15.75" customHeight="1">
      <c r="A40" s="30"/>
      <c r="B40" s="30"/>
      <c r="C40" s="30"/>
      <c r="D40" s="30"/>
      <c r="E40" s="30"/>
      <c r="F40" s="30"/>
      <c r="G40" s="40"/>
      <c r="H40" s="40"/>
      <c r="I40" s="41" t="str">
        <f t="shared" si="1"/>
        <v/>
      </c>
      <c r="J40" s="42"/>
      <c r="K40" s="43"/>
      <c r="L40" s="42"/>
      <c r="M40" s="30"/>
      <c r="N40" s="30"/>
      <c r="O40" s="43"/>
      <c r="P40" s="30"/>
      <c r="Q40" s="30"/>
      <c r="R40" s="30"/>
      <c r="S40" s="30"/>
      <c r="T40" s="30"/>
      <c r="U40" s="30"/>
      <c r="V40" s="30"/>
      <c r="W40" s="34"/>
      <c r="X40" s="34"/>
      <c r="Y40" s="44" t="str">
        <f>IF($A40="","",IF(AND($J40&gt;=Rubric!$B$5,$K40&gt;=Rubric!$B$6,$L40&gt;=Rubric!$B$7,$S40=Rubric!$B$8,OR($N40="Shopee Mall",$N40="Preferred Plus",$N40="Preferred")),"PASS","FAIL"))</f>
        <v/>
      </c>
      <c r="Z40" s="45" t="str">
        <f t="array" ref="Z40">IF($A40="","",IFERROR(INDEX(Rubric!$C$26:$C$30,MATCH($J40,Rubric!$B$26:$B$30,1)),0))</f>
        <v/>
      </c>
      <c r="AA40" s="45" t="str">
        <f t="array" ref="AA40">IF($A40="","",IFERROR(INDEX(Rubric!$C$34:$C$37,MATCH($K40,Rubric!$B$34:$B$37,1)),0))</f>
        <v/>
      </c>
      <c r="AB40" s="45" t="str">
        <f t="array" ref="AB40">IF($A40="","",IFERROR(INDEX(Rubric!$C$41:$C$45,MATCH($L40,Rubric!$B$41:$B$45,1)),0))</f>
        <v/>
      </c>
      <c r="AC40" s="45" t="str">
        <f t="array" ref="AC40">IF($A40="","",IFERROR(INDEX(Rubric!$C$49:$C$52,MATCH($N40,Rubric!$B$49:$B$52,0)),0))</f>
        <v/>
      </c>
      <c r="AD40" s="45" t="str">
        <f t="array" ref="AD40">IF($A40="","",IFERROR(INDEX(Rubric!$C$56:$C$59,MATCH($O40,Rubric!$B$56:$B$59,1)),0))</f>
        <v/>
      </c>
      <c r="AE40" s="45" t="str">
        <f t="array" ref="AE40">IF($A40="","",IFERROR(INDEX(Rubric!$C$63:$C$67,MATCH($I40,Rubric!$B$63:$B$67,1)),0))</f>
        <v/>
      </c>
      <c r="AF40" s="45" t="str">
        <f>IF($A40="","",IF($P40="Yes",Rubric!$C$71,0)+IF($R40="Yes",Rubric!$C$72,0)+IF($Q40="Buy 1 Take 1 or better",Rubric!$C$73,0))</f>
        <v/>
      </c>
      <c r="AG40" s="45" t="str">
        <f>IF($A40="","",IFERROR($V40*Rubric!$C$77,0))</f>
        <v/>
      </c>
      <c r="AH40" s="45" t="str">
        <f>IF($A40="","",IF($T40="Yes",Rubric!$C$81,0)+IF($U40="Yes",Rubric!$C$82,0))</f>
        <v/>
      </c>
      <c r="AI40" s="46" t="str">
        <f t="shared" si="2"/>
        <v/>
      </c>
      <c r="AJ40" s="44" t="str">
        <f t="array" ref="AJ40">IF($A40="","",IF($Y40="FAIL","Rejected — failed gate",IFERROR(INDEX(Rubric!$C$86:$C$89,MATCH($AI40,Rubric!$B$86:$B$89,1)),"")))</f>
        <v/>
      </c>
      <c r="AK40" s="47" t="str">
        <f t="shared" si="3"/>
        <v/>
      </c>
    </row>
    <row r="41" ht="15.75" customHeight="1">
      <c r="A41" s="30"/>
      <c r="B41" s="30"/>
      <c r="C41" s="30"/>
      <c r="D41" s="30"/>
      <c r="E41" s="30"/>
      <c r="F41" s="30"/>
      <c r="G41" s="40"/>
      <c r="H41" s="40"/>
      <c r="I41" s="41" t="str">
        <f t="shared" si="1"/>
        <v/>
      </c>
      <c r="J41" s="42"/>
      <c r="K41" s="43"/>
      <c r="L41" s="42"/>
      <c r="M41" s="30"/>
      <c r="N41" s="30"/>
      <c r="O41" s="43"/>
      <c r="P41" s="30"/>
      <c r="Q41" s="30"/>
      <c r="R41" s="30"/>
      <c r="S41" s="30"/>
      <c r="T41" s="30"/>
      <c r="U41" s="30"/>
      <c r="V41" s="30"/>
      <c r="W41" s="34"/>
      <c r="X41" s="34"/>
      <c r="Y41" s="44" t="str">
        <f>IF($A41="","",IF(AND($J41&gt;=Rubric!$B$5,$K41&gt;=Rubric!$B$6,$L41&gt;=Rubric!$B$7,$S41=Rubric!$B$8,OR($N41="Shopee Mall",$N41="Preferred Plus",$N41="Preferred")),"PASS","FAIL"))</f>
        <v/>
      </c>
      <c r="Z41" s="45" t="str">
        <f t="array" ref="Z41">IF($A41="","",IFERROR(INDEX(Rubric!$C$26:$C$30,MATCH($J41,Rubric!$B$26:$B$30,1)),0))</f>
        <v/>
      </c>
      <c r="AA41" s="45" t="str">
        <f t="array" ref="AA41">IF($A41="","",IFERROR(INDEX(Rubric!$C$34:$C$37,MATCH($K41,Rubric!$B$34:$B$37,1)),0))</f>
        <v/>
      </c>
      <c r="AB41" s="45" t="str">
        <f t="array" ref="AB41">IF($A41="","",IFERROR(INDEX(Rubric!$C$41:$C$45,MATCH($L41,Rubric!$B$41:$B$45,1)),0))</f>
        <v/>
      </c>
      <c r="AC41" s="45" t="str">
        <f t="array" ref="AC41">IF($A41="","",IFERROR(INDEX(Rubric!$C$49:$C$52,MATCH($N41,Rubric!$B$49:$B$52,0)),0))</f>
        <v/>
      </c>
      <c r="AD41" s="45" t="str">
        <f t="array" ref="AD41">IF($A41="","",IFERROR(INDEX(Rubric!$C$56:$C$59,MATCH($O41,Rubric!$B$56:$B$59,1)),0))</f>
        <v/>
      </c>
      <c r="AE41" s="45" t="str">
        <f t="array" ref="AE41">IF($A41="","",IFERROR(INDEX(Rubric!$C$63:$C$67,MATCH($I41,Rubric!$B$63:$B$67,1)),0))</f>
        <v/>
      </c>
      <c r="AF41" s="45" t="str">
        <f>IF($A41="","",IF($P41="Yes",Rubric!$C$71,0)+IF($R41="Yes",Rubric!$C$72,0)+IF($Q41="Buy 1 Take 1 or better",Rubric!$C$73,0))</f>
        <v/>
      </c>
      <c r="AG41" s="45" t="str">
        <f>IF($A41="","",IFERROR($V41*Rubric!$C$77,0))</f>
        <v/>
      </c>
      <c r="AH41" s="45" t="str">
        <f>IF($A41="","",IF($T41="Yes",Rubric!$C$81,0)+IF($U41="Yes",Rubric!$C$82,0))</f>
        <v/>
      </c>
      <c r="AI41" s="46" t="str">
        <f t="shared" si="2"/>
        <v/>
      </c>
      <c r="AJ41" s="44" t="str">
        <f t="array" ref="AJ41">IF($A41="","",IF($Y41="FAIL","Rejected — failed gate",IFERROR(INDEX(Rubric!$C$86:$C$89,MATCH($AI41,Rubric!$B$86:$B$89,1)),"")))</f>
        <v/>
      </c>
      <c r="AK41" s="47" t="str">
        <f t="shared" si="3"/>
        <v/>
      </c>
    </row>
    <row r="42" ht="15.75" customHeight="1">
      <c r="A42" s="30"/>
      <c r="B42" s="30"/>
      <c r="C42" s="30"/>
      <c r="D42" s="30"/>
      <c r="E42" s="30"/>
      <c r="F42" s="30"/>
      <c r="G42" s="40"/>
      <c r="H42" s="40"/>
      <c r="I42" s="41" t="str">
        <f t="shared" si="1"/>
        <v/>
      </c>
      <c r="J42" s="42"/>
      <c r="K42" s="43"/>
      <c r="L42" s="42"/>
      <c r="M42" s="30"/>
      <c r="N42" s="30"/>
      <c r="O42" s="43"/>
      <c r="P42" s="30"/>
      <c r="Q42" s="30"/>
      <c r="R42" s="30"/>
      <c r="S42" s="30"/>
      <c r="T42" s="30"/>
      <c r="U42" s="30"/>
      <c r="V42" s="30"/>
      <c r="W42" s="34"/>
      <c r="X42" s="34"/>
      <c r="Y42" s="44" t="str">
        <f>IF($A42="","",IF(AND($J42&gt;=Rubric!$B$5,$K42&gt;=Rubric!$B$6,$L42&gt;=Rubric!$B$7,$S42=Rubric!$B$8,OR($N42="Shopee Mall",$N42="Preferred Plus",$N42="Preferred")),"PASS","FAIL"))</f>
        <v/>
      </c>
      <c r="Z42" s="45" t="str">
        <f t="array" ref="Z42">IF($A42="","",IFERROR(INDEX(Rubric!$C$26:$C$30,MATCH($J42,Rubric!$B$26:$B$30,1)),0))</f>
        <v/>
      </c>
      <c r="AA42" s="45" t="str">
        <f t="array" ref="AA42">IF($A42="","",IFERROR(INDEX(Rubric!$C$34:$C$37,MATCH($K42,Rubric!$B$34:$B$37,1)),0))</f>
        <v/>
      </c>
      <c r="AB42" s="45" t="str">
        <f t="array" ref="AB42">IF($A42="","",IFERROR(INDEX(Rubric!$C$41:$C$45,MATCH($L42,Rubric!$B$41:$B$45,1)),0))</f>
        <v/>
      </c>
      <c r="AC42" s="45" t="str">
        <f t="array" ref="AC42">IF($A42="","",IFERROR(INDEX(Rubric!$C$49:$C$52,MATCH($N42,Rubric!$B$49:$B$52,0)),0))</f>
        <v/>
      </c>
      <c r="AD42" s="45" t="str">
        <f t="array" ref="AD42">IF($A42="","",IFERROR(INDEX(Rubric!$C$56:$C$59,MATCH($O42,Rubric!$B$56:$B$59,1)),0))</f>
        <v/>
      </c>
      <c r="AE42" s="45" t="str">
        <f t="array" ref="AE42">IF($A42="","",IFERROR(INDEX(Rubric!$C$63:$C$67,MATCH($I42,Rubric!$B$63:$B$67,1)),0))</f>
        <v/>
      </c>
      <c r="AF42" s="45" t="str">
        <f>IF($A42="","",IF($P42="Yes",Rubric!$C$71,0)+IF($R42="Yes",Rubric!$C$72,0)+IF($Q42="Buy 1 Take 1 or better",Rubric!$C$73,0))</f>
        <v/>
      </c>
      <c r="AG42" s="45" t="str">
        <f>IF($A42="","",IFERROR($V42*Rubric!$C$77,0))</f>
        <v/>
      </c>
      <c r="AH42" s="45" t="str">
        <f>IF($A42="","",IF($T42="Yes",Rubric!$C$81,0)+IF($U42="Yes",Rubric!$C$82,0))</f>
        <v/>
      </c>
      <c r="AI42" s="46" t="str">
        <f t="shared" si="2"/>
        <v/>
      </c>
      <c r="AJ42" s="44" t="str">
        <f t="array" ref="AJ42">IF($A42="","",IF($Y42="FAIL","Rejected — failed gate",IFERROR(INDEX(Rubric!$C$86:$C$89,MATCH($AI42,Rubric!$B$86:$B$89,1)),"")))</f>
        <v/>
      </c>
      <c r="AK42" s="47" t="str">
        <f t="shared" si="3"/>
        <v/>
      </c>
    </row>
    <row r="43" ht="15.75" customHeight="1">
      <c r="A43" s="30"/>
      <c r="B43" s="30"/>
      <c r="C43" s="30"/>
      <c r="D43" s="30"/>
      <c r="E43" s="30"/>
      <c r="F43" s="30"/>
      <c r="G43" s="40"/>
      <c r="H43" s="40"/>
      <c r="I43" s="41" t="str">
        <f t="shared" si="1"/>
        <v/>
      </c>
      <c r="J43" s="42"/>
      <c r="K43" s="43"/>
      <c r="L43" s="42"/>
      <c r="M43" s="30"/>
      <c r="N43" s="30"/>
      <c r="O43" s="43"/>
      <c r="P43" s="30"/>
      <c r="Q43" s="30"/>
      <c r="R43" s="30"/>
      <c r="S43" s="30"/>
      <c r="T43" s="30"/>
      <c r="U43" s="30"/>
      <c r="V43" s="30"/>
      <c r="W43" s="34"/>
      <c r="X43" s="34"/>
      <c r="Y43" s="44" t="str">
        <f>IF($A43="","",IF(AND($J43&gt;=Rubric!$B$5,$K43&gt;=Rubric!$B$6,$L43&gt;=Rubric!$B$7,$S43=Rubric!$B$8,OR($N43="Shopee Mall",$N43="Preferred Plus",$N43="Preferred")),"PASS","FAIL"))</f>
        <v/>
      </c>
      <c r="Z43" s="45" t="str">
        <f t="array" ref="Z43">IF($A43="","",IFERROR(INDEX(Rubric!$C$26:$C$30,MATCH($J43,Rubric!$B$26:$B$30,1)),0))</f>
        <v/>
      </c>
      <c r="AA43" s="45" t="str">
        <f t="array" ref="AA43">IF($A43="","",IFERROR(INDEX(Rubric!$C$34:$C$37,MATCH($K43,Rubric!$B$34:$B$37,1)),0))</f>
        <v/>
      </c>
      <c r="AB43" s="45" t="str">
        <f t="array" ref="AB43">IF($A43="","",IFERROR(INDEX(Rubric!$C$41:$C$45,MATCH($L43,Rubric!$B$41:$B$45,1)),0))</f>
        <v/>
      </c>
      <c r="AC43" s="45" t="str">
        <f t="array" ref="AC43">IF($A43="","",IFERROR(INDEX(Rubric!$C$49:$C$52,MATCH($N43,Rubric!$B$49:$B$52,0)),0))</f>
        <v/>
      </c>
      <c r="AD43" s="45" t="str">
        <f t="array" ref="AD43">IF($A43="","",IFERROR(INDEX(Rubric!$C$56:$C$59,MATCH($O43,Rubric!$B$56:$B$59,1)),0))</f>
        <v/>
      </c>
      <c r="AE43" s="45" t="str">
        <f t="array" ref="AE43">IF($A43="","",IFERROR(INDEX(Rubric!$C$63:$C$67,MATCH($I43,Rubric!$B$63:$B$67,1)),0))</f>
        <v/>
      </c>
      <c r="AF43" s="45" t="str">
        <f>IF($A43="","",IF($P43="Yes",Rubric!$C$71,0)+IF($R43="Yes",Rubric!$C$72,0)+IF($Q43="Buy 1 Take 1 or better",Rubric!$C$73,0))</f>
        <v/>
      </c>
      <c r="AG43" s="45" t="str">
        <f>IF($A43="","",IFERROR($V43*Rubric!$C$77,0))</f>
        <v/>
      </c>
      <c r="AH43" s="45" t="str">
        <f>IF($A43="","",IF($T43="Yes",Rubric!$C$81,0)+IF($U43="Yes",Rubric!$C$82,0))</f>
        <v/>
      </c>
      <c r="AI43" s="46" t="str">
        <f t="shared" si="2"/>
        <v/>
      </c>
      <c r="AJ43" s="44" t="str">
        <f t="array" ref="AJ43">IF($A43="","",IF($Y43="FAIL","Rejected — failed gate",IFERROR(INDEX(Rubric!$C$86:$C$89,MATCH($AI43,Rubric!$B$86:$B$89,1)),"")))</f>
        <v/>
      </c>
      <c r="AK43" s="47" t="str">
        <f t="shared" si="3"/>
        <v/>
      </c>
    </row>
    <row r="44" ht="15.75" customHeight="1">
      <c r="A44" s="30"/>
      <c r="B44" s="30"/>
      <c r="C44" s="30"/>
      <c r="D44" s="30"/>
      <c r="E44" s="30"/>
      <c r="F44" s="30"/>
      <c r="G44" s="40"/>
      <c r="H44" s="40"/>
      <c r="I44" s="41" t="str">
        <f t="shared" si="1"/>
        <v/>
      </c>
      <c r="J44" s="42"/>
      <c r="K44" s="43"/>
      <c r="L44" s="42"/>
      <c r="M44" s="30"/>
      <c r="N44" s="30"/>
      <c r="O44" s="43"/>
      <c r="P44" s="30"/>
      <c r="Q44" s="30"/>
      <c r="R44" s="30"/>
      <c r="S44" s="30"/>
      <c r="T44" s="30"/>
      <c r="U44" s="30"/>
      <c r="V44" s="30"/>
      <c r="W44" s="34"/>
      <c r="X44" s="34"/>
      <c r="Y44" s="44" t="str">
        <f>IF($A44="","",IF(AND($J44&gt;=Rubric!$B$5,$K44&gt;=Rubric!$B$6,$L44&gt;=Rubric!$B$7,$S44=Rubric!$B$8,OR($N44="Shopee Mall",$N44="Preferred Plus",$N44="Preferred")),"PASS","FAIL"))</f>
        <v/>
      </c>
      <c r="Z44" s="45" t="str">
        <f t="array" ref="Z44">IF($A44="","",IFERROR(INDEX(Rubric!$C$26:$C$30,MATCH($J44,Rubric!$B$26:$B$30,1)),0))</f>
        <v/>
      </c>
      <c r="AA44" s="45" t="str">
        <f t="array" ref="AA44">IF($A44="","",IFERROR(INDEX(Rubric!$C$34:$C$37,MATCH($K44,Rubric!$B$34:$B$37,1)),0))</f>
        <v/>
      </c>
      <c r="AB44" s="45" t="str">
        <f t="array" ref="AB44">IF($A44="","",IFERROR(INDEX(Rubric!$C$41:$C$45,MATCH($L44,Rubric!$B$41:$B$45,1)),0))</f>
        <v/>
      </c>
      <c r="AC44" s="45" t="str">
        <f t="array" ref="AC44">IF($A44="","",IFERROR(INDEX(Rubric!$C$49:$C$52,MATCH($N44,Rubric!$B$49:$B$52,0)),0))</f>
        <v/>
      </c>
      <c r="AD44" s="45" t="str">
        <f t="array" ref="AD44">IF($A44="","",IFERROR(INDEX(Rubric!$C$56:$C$59,MATCH($O44,Rubric!$B$56:$B$59,1)),0))</f>
        <v/>
      </c>
      <c r="AE44" s="45" t="str">
        <f t="array" ref="AE44">IF($A44="","",IFERROR(INDEX(Rubric!$C$63:$C$67,MATCH($I44,Rubric!$B$63:$B$67,1)),0))</f>
        <v/>
      </c>
      <c r="AF44" s="45" t="str">
        <f>IF($A44="","",IF($P44="Yes",Rubric!$C$71,0)+IF($R44="Yes",Rubric!$C$72,0)+IF($Q44="Buy 1 Take 1 or better",Rubric!$C$73,0))</f>
        <v/>
      </c>
      <c r="AG44" s="45" t="str">
        <f>IF($A44="","",IFERROR($V44*Rubric!$C$77,0))</f>
        <v/>
      </c>
      <c r="AH44" s="45" t="str">
        <f>IF($A44="","",IF($T44="Yes",Rubric!$C$81,0)+IF($U44="Yes",Rubric!$C$82,0))</f>
        <v/>
      </c>
      <c r="AI44" s="46" t="str">
        <f t="shared" si="2"/>
        <v/>
      </c>
      <c r="AJ44" s="44" t="str">
        <f t="array" ref="AJ44">IF($A44="","",IF($Y44="FAIL","Rejected — failed gate",IFERROR(INDEX(Rubric!$C$86:$C$89,MATCH($AI44,Rubric!$B$86:$B$89,1)),"")))</f>
        <v/>
      </c>
      <c r="AK44" s="47" t="str">
        <f t="shared" si="3"/>
        <v/>
      </c>
    </row>
    <row r="45" ht="15.75" customHeight="1">
      <c r="A45" s="30"/>
      <c r="B45" s="30"/>
      <c r="C45" s="30"/>
      <c r="D45" s="30"/>
      <c r="E45" s="30"/>
      <c r="F45" s="30"/>
      <c r="G45" s="40"/>
      <c r="H45" s="40"/>
      <c r="I45" s="41" t="str">
        <f t="shared" si="1"/>
        <v/>
      </c>
      <c r="J45" s="42"/>
      <c r="K45" s="43"/>
      <c r="L45" s="42"/>
      <c r="M45" s="30"/>
      <c r="N45" s="30"/>
      <c r="O45" s="43"/>
      <c r="P45" s="30"/>
      <c r="Q45" s="30"/>
      <c r="R45" s="30"/>
      <c r="S45" s="30"/>
      <c r="T45" s="30"/>
      <c r="U45" s="30"/>
      <c r="V45" s="30"/>
      <c r="W45" s="34"/>
      <c r="X45" s="34"/>
      <c r="Y45" s="44" t="str">
        <f>IF($A45="","",IF(AND($J45&gt;=Rubric!$B$5,$K45&gt;=Rubric!$B$6,$L45&gt;=Rubric!$B$7,$S45=Rubric!$B$8,OR($N45="Shopee Mall",$N45="Preferred Plus",$N45="Preferred")),"PASS","FAIL"))</f>
        <v/>
      </c>
      <c r="Z45" s="45" t="str">
        <f t="array" ref="Z45">IF($A45="","",IFERROR(INDEX(Rubric!$C$26:$C$30,MATCH($J45,Rubric!$B$26:$B$30,1)),0))</f>
        <v/>
      </c>
      <c r="AA45" s="45" t="str">
        <f t="array" ref="AA45">IF($A45="","",IFERROR(INDEX(Rubric!$C$34:$C$37,MATCH($K45,Rubric!$B$34:$B$37,1)),0))</f>
        <v/>
      </c>
      <c r="AB45" s="45" t="str">
        <f t="array" ref="AB45">IF($A45="","",IFERROR(INDEX(Rubric!$C$41:$C$45,MATCH($L45,Rubric!$B$41:$B$45,1)),0))</f>
        <v/>
      </c>
      <c r="AC45" s="45" t="str">
        <f t="array" ref="AC45">IF($A45="","",IFERROR(INDEX(Rubric!$C$49:$C$52,MATCH($N45,Rubric!$B$49:$B$52,0)),0))</f>
        <v/>
      </c>
      <c r="AD45" s="45" t="str">
        <f t="array" ref="AD45">IF($A45="","",IFERROR(INDEX(Rubric!$C$56:$C$59,MATCH($O45,Rubric!$B$56:$B$59,1)),0))</f>
        <v/>
      </c>
      <c r="AE45" s="45" t="str">
        <f t="array" ref="AE45">IF($A45="","",IFERROR(INDEX(Rubric!$C$63:$C$67,MATCH($I45,Rubric!$B$63:$B$67,1)),0))</f>
        <v/>
      </c>
      <c r="AF45" s="45" t="str">
        <f>IF($A45="","",IF($P45="Yes",Rubric!$C$71,0)+IF($R45="Yes",Rubric!$C$72,0)+IF($Q45="Buy 1 Take 1 or better",Rubric!$C$73,0))</f>
        <v/>
      </c>
      <c r="AG45" s="45" t="str">
        <f>IF($A45="","",IFERROR($V45*Rubric!$C$77,0))</f>
        <v/>
      </c>
      <c r="AH45" s="45" t="str">
        <f>IF($A45="","",IF($T45="Yes",Rubric!$C$81,0)+IF($U45="Yes",Rubric!$C$82,0))</f>
        <v/>
      </c>
      <c r="AI45" s="46" t="str">
        <f t="shared" si="2"/>
        <v/>
      </c>
      <c r="AJ45" s="44" t="str">
        <f t="array" ref="AJ45">IF($A45="","",IF($Y45="FAIL","Rejected — failed gate",IFERROR(INDEX(Rubric!$C$86:$C$89,MATCH($AI45,Rubric!$B$86:$B$89,1)),"")))</f>
        <v/>
      </c>
      <c r="AK45" s="47" t="str">
        <f t="shared" si="3"/>
        <v/>
      </c>
    </row>
    <row r="46" ht="15.75" customHeight="1">
      <c r="A46" s="30"/>
      <c r="B46" s="30"/>
      <c r="C46" s="30"/>
      <c r="D46" s="30"/>
      <c r="E46" s="30"/>
      <c r="F46" s="30"/>
      <c r="G46" s="40"/>
      <c r="H46" s="40"/>
      <c r="I46" s="41" t="str">
        <f t="shared" si="1"/>
        <v/>
      </c>
      <c r="J46" s="42"/>
      <c r="K46" s="43"/>
      <c r="L46" s="42"/>
      <c r="M46" s="30"/>
      <c r="N46" s="30"/>
      <c r="O46" s="43"/>
      <c r="P46" s="30"/>
      <c r="Q46" s="30"/>
      <c r="R46" s="30"/>
      <c r="S46" s="30"/>
      <c r="T46" s="30"/>
      <c r="U46" s="30"/>
      <c r="V46" s="30"/>
      <c r="W46" s="34"/>
      <c r="X46" s="34"/>
      <c r="Y46" s="44" t="str">
        <f>IF($A46="","",IF(AND($J46&gt;=Rubric!$B$5,$K46&gt;=Rubric!$B$6,$L46&gt;=Rubric!$B$7,$S46=Rubric!$B$8,OR($N46="Shopee Mall",$N46="Preferred Plus",$N46="Preferred")),"PASS","FAIL"))</f>
        <v/>
      </c>
      <c r="Z46" s="45" t="str">
        <f t="array" ref="Z46">IF($A46="","",IFERROR(INDEX(Rubric!$C$26:$C$30,MATCH($J46,Rubric!$B$26:$B$30,1)),0))</f>
        <v/>
      </c>
      <c r="AA46" s="45" t="str">
        <f t="array" ref="AA46">IF($A46="","",IFERROR(INDEX(Rubric!$C$34:$C$37,MATCH($K46,Rubric!$B$34:$B$37,1)),0))</f>
        <v/>
      </c>
      <c r="AB46" s="45" t="str">
        <f t="array" ref="AB46">IF($A46="","",IFERROR(INDEX(Rubric!$C$41:$C$45,MATCH($L46,Rubric!$B$41:$B$45,1)),0))</f>
        <v/>
      </c>
      <c r="AC46" s="45" t="str">
        <f t="array" ref="AC46">IF($A46="","",IFERROR(INDEX(Rubric!$C$49:$C$52,MATCH($N46,Rubric!$B$49:$B$52,0)),0))</f>
        <v/>
      </c>
      <c r="AD46" s="45" t="str">
        <f t="array" ref="AD46">IF($A46="","",IFERROR(INDEX(Rubric!$C$56:$C$59,MATCH($O46,Rubric!$B$56:$B$59,1)),0))</f>
        <v/>
      </c>
      <c r="AE46" s="45" t="str">
        <f t="array" ref="AE46">IF($A46="","",IFERROR(INDEX(Rubric!$C$63:$C$67,MATCH($I46,Rubric!$B$63:$B$67,1)),0))</f>
        <v/>
      </c>
      <c r="AF46" s="45" t="str">
        <f>IF($A46="","",IF($P46="Yes",Rubric!$C$71,0)+IF($R46="Yes",Rubric!$C$72,0)+IF($Q46="Buy 1 Take 1 or better",Rubric!$C$73,0))</f>
        <v/>
      </c>
      <c r="AG46" s="45" t="str">
        <f>IF($A46="","",IFERROR($V46*Rubric!$C$77,0))</f>
        <v/>
      </c>
      <c r="AH46" s="45" t="str">
        <f>IF($A46="","",IF($T46="Yes",Rubric!$C$81,0)+IF($U46="Yes",Rubric!$C$82,0))</f>
        <v/>
      </c>
      <c r="AI46" s="46" t="str">
        <f t="shared" si="2"/>
        <v/>
      </c>
      <c r="AJ46" s="44" t="str">
        <f t="array" ref="AJ46">IF($A46="","",IF($Y46="FAIL","Rejected — failed gate",IFERROR(INDEX(Rubric!$C$86:$C$89,MATCH($AI46,Rubric!$B$86:$B$89,1)),"")))</f>
        <v/>
      </c>
      <c r="AK46" s="47" t="str">
        <f t="shared" si="3"/>
        <v/>
      </c>
    </row>
    <row r="47" ht="15.75" customHeight="1">
      <c r="A47" s="30"/>
      <c r="B47" s="30"/>
      <c r="C47" s="30"/>
      <c r="D47" s="30"/>
      <c r="E47" s="30"/>
      <c r="F47" s="30"/>
      <c r="G47" s="40"/>
      <c r="H47" s="40"/>
      <c r="I47" s="41" t="str">
        <f t="shared" si="1"/>
        <v/>
      </c>
      <c r="J47" s="42"/>
      <c r="K47" s="43"/>
      <c r="L47" s="42"/>
      <c r="M47" s="30"/>
      <c r="N47" s="30"/>
      <c r="O47" s="43"/>
      <c r="P47" s="30"/>
      <c r="Q47" s="30"/>
      <c r="R47" s="30"/>
      <c r="S47" s="30"/>
      <c r="T47" s="30"/>
      <c r="U47" s="30"/>
      <c r="V47" s="30"/>
      <c r="W47" s="34"/>
      <c r="X47" s="34"/>
      <c r="Y47" s="44" t="str">
        <f>IF($A47="","",IF(AND($J47&gt;=Rubric!$B$5,$K47&gt;=Rubric!$B$6,$L47&gt;=Rubric!$B$7,$S47=Rubric!$B$8,OR($N47="Shopee Mall",$N47="Preferred Plus",$N47="Preferred")),"PASS","FAIL"))</f>
        <v/>
      </c>
      <c r="Z47" s="45" t="str">
        <f t="array" ref="Z47">IF($A47="","",IFERROR(INDEX(Rubric!$C$26:$C$30,MATCH($J47,Rubric!$B$26:$B$30,1)),0))</f>
        <v/>
      </c>
      <c r="AA47" s="45" t="str">
        <f t="array" ref="AA47">IF($A47="","",IFERROR(INDEX(Rubric!$C$34:$C$37,MATCH($K47,Rubric!$B$34:$B$37,1)),0))</f>
        <v/>
      </c>
      <c r="AB47" s="45" t="str">
        <f t="array" ref="AB47">IF($A47="","",IFERROR(INDEX(Rubric!$C$41:$C$45,MATCH($L47,Rubric!$B$41:$B$45,1)),0))</f>
        <v/>
      </c>
      <c r="AC47" s="45" t="str">
        <f t="array" ref="AC47">IF($A47="","",IFERROR(INDEX(Rubric!$C$49:$C$52,MATCH($N47,Rubric!$B$49:$B$52,0)),0))</f>
        <v/>
      </c>
      <c r="AD47" s="45" t="str">
        <f t="array" ref="AD47">IF($A47="","",IFERROR(INDEX(Rubric!$C$56:$C$59,MATCH($O47,Rubric!$B$56:$B$59,1)),0))</f>
        <v/>
      </c>
      <c r="AE47" s="45" t="str">
        <f t="array" ref="AE47">IF($A47="","",IFERROR(INDEX(Rubric!$C$63:$C$67,MATCH($I47,Rubric!$B$63:$B$67,1)),0))</f>
        <v/>
      </c>
      <c r="AF47" s="45" t="str">
        <f>IF($A47="","",IF($P47="Yes",Rubric!$C$71,0)+IF($R47="Yes",Rubric!$C$72,0)+IF($Q47="Buy 1 Take 1 or better",Rubric!$C$73,0))</f>
        <v/>
      </c>
      <c r="AG47" s="45" t="str">
        <f>IF($A47="","",IFERROR($V47*Rubric!$C$77,0))</f>
        <v/>
      </c>
      <c r="AH47" s="45" t="str">
        <f>IF($A47="","",IF($T47="Yes",Rubric!$C$81,0)+IF($U47="Yes",Rubric!$C$82,0))</f>
        <v/>
      </c>
      <c r="AI47" s="46" t="str">
        <f t="shared" si="2"/>
        <v/>
      </c>
      <c r="AJ47" s="44" t="str">
        <f t="array" ref="AJ47">IF($A47="","",IF($Y47="FAIL","Rejected — failed gate",IFERROR(INDEX(Rubric!$C$86:$C$89,MATCH($AI47,Rubric!$B$86:$B$89,1)),"")))</f>
        <v/>
      </c>
      <c r="AK47" s="47" t="str">
        <f t="shared" si="3"/>
        <v/>
      </c>
    </row>
    <row r="48" ht="15.75" customHeight="1">
      <c r="A48" s="30"/>
      <c r="B48" s="30"/>
      <c r="C48" s="30"/>
      <c r="D48" s="30"/>
      <c r="E48" s="30"/>
      <c r="F48" s="30"/>
      <c r="G48" s="40"/>
      <c r="H48" s="40"/>
      <c r="I48" s="41" t="str">
        <f t="shared" si="1"/>
        <v/>
      </c>
      <c r="J48" s="42"/>
      <c r="K48" s="43"/>
      <c r="L48" s="42"/>
      <c r="M48" s="30"/>
      <c r="N48" s="30"/>
      <c r="O48" s="43"/>
      <c r="P48" s="30"/>
      <c r="Q48" s="30"/>
      <c r="R48" s="30"/>
      <c r="S48" s="30"/>
      <c r="T48" s="30"/>
      <c r="U48" s="30"/>
      <c r="V48" s="30"/>
      <c r="W48" s="34"/>
      <c r="X48" s="34"/>
      <c r="Y48" s="44" t="str">
        <f>IF($A48="","",IF(AND($J48&gt;=Rubric!$B$5,$K48&gt;=Rubric!$B$6,$L48&gt;=Rubric!$B$7,$S48=Rubric!$B$8,OR($N48="Shopee Mall",$N48="Preferred Plus",$N48="Preferred")),"PASS","FAIL"))</f>
        <v/>
      </c>
      <c r="Z48" s="45" t="str">
        <f t="array" ref="Z48">IF($A48="","",IFERROR(INDEX(Rubric!$C$26:$C$30,MATCH($J48,Rubric!$B$26:$B$30,1)),0))</f>
        <v/>
      </c>
      <c r="AA48" s="45" t="str">
        <f t="array" ref="AA48">IF($A48="","",IFERROR(INDEX(Rubric!$C$34:$C$37,MATCH($K48,Rubric!$B$34:$B$37,1)),0))</f>
        <v/>
      </c>
      <c r="AB48" s="45" t="str">
        <f t="array" ref="AB48">IF($A48="","",IFERROR(INDEX(Rubric!$C$41:$C$45,MATCH($L48,Rubric!$B$41:$B$45,1)),0))</f>
        <v/>
      </c>
      <c r="AC48" s="45" t="str">
        <f t="array" ref="AC48">IF($A48="","",IFERROR(INDEX(Rubric!$C$49:$C$52,MATCH($N48,Rubric!$B$49:$B$52,0)),0))</f>
        <v/>
      </c>
      <c r="AD48" s="45" t="str">
        <f t="array" ref="AD48">IF($A48="","",IFERROR(INDEX(Rubric!$C$56:$C$59,MATCH($O48,Rubric!$B$56:$B$59,1)),0))</f>
        <v/>
      </c>
      <c r="AE48" s="45" t="str">
        <f t="array" ref="AE48">IF($A48="","",IFERROR(INDEX(Rubric!$C$63:$C$67,MATCH($I48,Rubric!$B$63:$B$67,1)),0))</f>
        <v/>
      </c>
      <c r="AF48" s="45" t="str">
        <f>IF($A48="","",IF($P48="Yes",Rubric!$C$71,0)+IF($R48="Yes",Rubric!$C$72,0)+IF($Q48="Buy 1 Take 1 or better",Rubric!$C$73,0))</f>
        <v/>
      </c>
      <c r="AG48" s="45" t="str">
        <f>IF($A48="","",IFERROR($V48*Rubric!$C$77,0))</f>
        <v/>
      </c>
      <c r="AH48" s="45" t="str">
        <f>IF($A48="","",IF($T48="Yes",Rubric!$C$81,0)+IF($U48="Yes",Rubric!$C$82,0))</f>
        <v/>
      </c>
      <c r="AI48" s="46" t="str">
        <f t="shared" si="2"/>
        <v/>
      </c>
      <c r="AJ48" s="44" t="str">
        <f t="array" ref="AJ48">IF($A48="","",IF($Y48="FAIL","Rejected — failed gate",IFERROR(INDEX(Rubric!$C$86:$C$89,MATCH($AI48,Rubric!$B$86:$B$89,1)),"")))</f>
        <v/>
      </c>
      <c r="AK48" s="47" t="str">
        <f t="shared" si="3"/>
        <v/>
      </c>
    </row>
    <row r="49" ht="15.75" customHeight="1">
      <c r="A49" s="30"/>
      <c r="B49" s="30"/>
      <c r="C49" s="30"/>
      <c r="D49" s="30"/>
      <c r="E49" s="30"/>
      <c r="F49" s="30"/>
      <c r="G49" s="40"/>
      <c r="H49" s="40"/>
      <c r="I49" s="41" t="str">
        <f t="shared" si="1"/>
        <v/>
      </c>
      <c r="J49" s="42"/>
      <c r="K49" s="43"/>
      <c r="L49" s="42"/>
      <c r="M49" s="30"/>
      <c r="N49" s="30"/>
      <c r="O49" s="43"/>
      <c r="P49" s="30"/>
      <c r="Q49" s="30"/>
      <c r="R49" s="30"/>
      <c r="S49" s="30"/>
      <c r="T49" s="30"/>
      <c r="U49" s="30"/>
      <c r="V49" s="30"/>
      <c r="W49" s="34"/>
      <c r="X49" s="34"/>
      <c r="Y49" s="44" t="str">
        <f>IF($A49="","",IF(AND($J49&gt;=Rubric!$B$5,$K49&gt;=Rubric!$B$6,$L49&gt;=Rubric!$B$7,$S49=Rubric!$B$8,OR($N49="Shopee Mall",$N49="Preferred Plus",$N49="Preferred")),"PASS","FAIL"))</f>
        <v/>
      </c>
      <c r="Z49" s="45" t="str">
        <f t="array" ref="Z49">IF($A49="","",IFERROR(INDEX(Rubric!$C$26:$C$30,MATCH($J49,Rubric!$B$26:$B$30,1)),0))</f>
        <v/>
      </c>
      <c r="AA49" s="45" t="str">
        <f t="array" ref="AA49">IF($A49="","",IFERROR(INDEX(Rubric!$C$34:$C$37,MATCH($K49,Rubric!$B$34:$B$37,1)),0))</f>
        <v/>
      </c>
      <c r="AB49" s="45" t="str">
        <f t="array" ref="AB49">IF($A49="","",IFERROR(INDEX(Rubric!$C$41:$C$45,MATCH($L49,Rubric!$B$41:$B$45,1)),0))</f>
        <v/>
      </c>
      <c r="AC49" s="45" t="str">
        <f t="array" ref="AC49">IF($A49="","",IFERROR(INDEX(Rubric!$C$49:$C$52,MATCH($N49,Rubric!$B$49:$B$52,0)),0))</f>
        <v/>
      </c>
      <c r="AD49" s="45" t="str">
        <f t="array" ref="AD49">IF($A49="","",IFERROR(INDEX(Rubric!$C$56:$C$59,MATCH($O49,Rubric!$B$56:$B$59,1)),0))</f>
        <v/>
      </c>
      <c r="AE49" s="45" t="str">
        <f t="array" ref="AE49">IF($A49="","",IFERROR(INDEX(Rubric!$C$63:$C$67,MATCH($I49,Rubric!$B$63:$B$67,1)),0))</f>
        <v/>
      </c>
      <c r="AF49" s="45" t="str">
        <f>IF($A49="","",IF($P49="Yes",Rubric!$C$71,0)+IF($R49="Yes",Rubric!$C$72,0)+IF($Q49="Buy 1 Take 1 or better",Rubric!$C$73,0))</f>
        <v/>
      </c>
      <c r="AG49" s="45" t="str">
        <f>IF($A49="","",IFERROR($V49*Rubric!$C$77,0))</f>
        <v/>
      </c>
      <c r="AH49" s="45" t="str">
        <f>IF($A49="","",IF($T49="Yes",Rubric!$C$81,0)+IF($U49="Yes",Rubric!$C$82,0))</f>
        <v/>
      </c>
      <c r="AI49" s="46" t="str">
        <f t="shared" si="2"/>
        <v/>
      </c>
      <c r="AJ49" s="44" t="str">
        <f t="array" ref="AJ49">IF($A49="","",IF($Y49="FAIL","Rejected — failed gate",IFERROR(INDEX(Rubric!$C$86:$C$89,MATCH($AI49,Rubric!$B$86:$B$89,1)),"")))</f>
        <v/>
      </c>
      <c r="AK49" s="47" t="str">
        <f t="shared" si="3"/>
        <v/>
      </c>
    </row>
    <row r="50" ht="15.75" customHeight="1">
      <c r="A50" s="30"/>
      <c r="B50" s="30"/>
      <c r="C50" s="30"/>
      <c r="D50" s="30"/>
      <c r="E50" s="30"/>
      <c r="F50" s="30"/>
      <c r="G50" s="40"/>
      <c r="H50" s="40"/>
      <c r="I50" s="41" t="str">
        <f t="shared" si="1"/>
        <v/>
      </c>
      <c r="J50" s="42"/>
      <c r="K50" s="43"/>
      <c r="L50" s="42"/>
      <c r="M50" s="30"/>
      <c r="N50" s="30"/>
      <c r="O50" s="43"/>
      <c r="P50" s="30"/>
      <c r="Q50" s="30"/>
      <c r="R50" s="30"/>
      <c r="S50" s="30"/>
      <c r="T50" s="30"/>
      <c r="U50" s="30"/>
      <c r="V50" s="30"/>
      <c r="W50" s="34"/>
      <c r="X50" s="34"/>
      <c r="Y50" s="44" t="str">
        <f>IF($A50="","",IF(AND($J50&gt;=Rubric!$B$5,$K50&gt;=Rubric!$B$6,$L50&gt;=Rubric!$B$7,$S50=Rubric!$B$8,OR($N50="Shopee Mall",$N50="Preferred Plus",$N50="Preferred")),"PASS","FAIL"))</f>
        <v/>
      </c>
      <c r="Z50" s="45" t="str">
        <f t="array" ref="Z50">IF($A50="","",IFERROR(INDEX(Rubric!$C$26:$C$30,MATCH($J50,Rubric!$B$26:$B$30,1)),0))</f>
        <v/>
      </c>
      <c r="AA50" s="45" t="str">
        <f t="array" ref="AA50">IF($A50="","",IFERROR(INDEX(Rubric!$C$34:$C$37,MATCH($K50,Rubric!$B$34:$B$37,1)),0))</f>
        <v/>
      </c>
      <c r="AB50" s="45" t="str">
        <f t="array" ref="AB50">IF($A50="","",IFERROR(INDEX(Rubric!$C$41:$C$45,MATCH($L50,Rubric!$B$41:$B$45,1)),0))</f>
        <v/>
      </c>
      <c r="AC50" s="45" t="str">
        <f t="array" ref="AC50">IF($A50="","",IFERROR(INDEX(Rubric!$C$49:$C$52,MATCH($N50,Rubric!$B$49:$B$52,0)),0))</f>
        <v/>
      </c>
      <c r="AD50" s="45" t="str">
        <f t="array" ref="AD50">IF($A50="","",IFERROR(INDEX(Rubric!$C$56:$C$59,MATCH($O50,Rubric!$B$56:$B$59,1)),0))</f>
        <v/>
      </c>
      <c r="AE50" s="45" t="str">
        <f t="array" ref="AE50">IF($A50="","",IFERROR(INDEX(Rubric!$C$63:$C$67,MATCH($I50,Rubric!$B$63:$B$67,1)),0))</f>
        <v/>
      </c>
      <c r="AF50" s="45" t="str">
        <f>IF($A50="","",IF($P50="Yes",Rubric!$C$71,0)+IF($R50="Yes",Rubric!$C$72,0)+IF($Q50="Buy 1 Take 1 or better",Rubric!$C$73,0))</f>
        <v/>
      </c>
      <c r="AG50" s="45" t="str">
        <f>IF($A50="","",IFERROR($V50*Rubric!$C$77,0))</f>
        <v/>
      </c>
      <c r="AH50" s="45" t="str">
        <f>IF($A50="","",IF($T50="Yes",Rubric!$C$81,0)+IF($U50="Yes",Rubric!$C$82,0))</f>
        <v/>
      </c>
      <c r="AI50" s="46" t="str">
        <f t="shared" si="2"/>
        <v/>
      </c>
      <c r="AJ50" s="44" t="str">
        <f t="array" ref="AJ50">IF($A50="","",IF($Y50="FAIL","Rejected — failed gate",IFERROR(INDEX(Rubric!$C$86:$C$89,MATCH($AI50,Rubric!$B$86:$B$89,1)),"")))</f>
        <v/>
      </c>
      <c r="AK50" s="47" t="str">
        <f t="shared" si="3"/>
        <v/>
      </c>
    </row>
    <row r="51" ht="15.75" customHeight="1">
      <c r="A51" s="30"/>
      <c r="B51" s="30"/>
      <c r="C51" s="30"/>
      <c r="D51" s="30"/>
      <c r="E51" s="30"/>
      <c r="F51" s="30"/>
      <c r="G51" s="40"/>
      <c r="H51" s="40"/>
      <c r="I51" s="41" t="str">
        <f t="shared" si="1"/>
        <v/>
      </c>
      <c r="J51" s="42"/>
      <c r="K51" s="43"/>
      <c r="L51" s="42"/>
      <c r="M51" s="30"/>
      <c r="N51" s="30"/>
      <c r="O51" s="43"/>
      <c r="P51" s="30"/>
      <c r="Q51" s="30"/>
      <c r="R51" s="30"/>
      <c r="S51" s="30"/>
      <c r="T51" s="30"/>
      <c r="U51" s="30"/>
      <c r="V51" s="30"/>
      <c r="W51" s="34"/>
      <c r="X51" s="34"/>
      <c r="Y51" s="44" t="str">
        <f>IF($A51="","",IF(AND($J51&gt;=Rubric!$B$5,$K51&gt;=Rubric!$B$6,$L51&gt;=Rubric!$B$7,$S51=Rubric!$B$8,OR($N51="Shopee Mall",$N51="Preferred Plus",$N51="Preferred")),"PASS","FAIL"))</f>
        <v/>
      </c>
      <c r="Z51" s="45" t="str">
        <f t="array" ref="Z51">IF($A51="","",IFERROR(INDEX(Rubric!$C$26:$C$30,MATCH($J51,Rubric!$B$26:$B$30,1)),0))</f>
        <v/>
      </c>
      <c r="AA51" s="45" t="str">
        <f t="array" ref="AA51">IF($A51="","",IFERROR(INDEX(Rubric!$C$34:$C$37,MATCH($K51,Rubric!$B$34:$B$37,1)),0))</f>
        <v/>
      </c>
      <c r="AB51" s="45" t="str">
        <f t="array" ref="AB51">IF($A51="","",IFERROR(INDEX(Rubric!$C$41:$C$45,MATCH($L51,Rubric!$B$41:$B$45,1)),0))</f>
        <v/>
      </c>
      <c r="AC51" s="45" t="str">
        <f t="array" ref="AC51">IF($A51="","",IFERROR(INDEX(Rubric!$C$49:$C$52,MATCH($N51,Rubric!$B$49:$B$52,0)),0))</f>
        <v/>
      </c>
      <c r="AD51" s="45" t="str">
        <f t="array" ref="AD51">IF($A51="","",IFERROR(INDEX(Rubric!$C$56:$C$59,MATCH($O51,Rubric!$B$56:$B$59,1)),0))</f>
        <v/>
      </c>
      <c r="AE51" s="45" t="str">
        <f t="array" ref="AE51">IF($A51="","",IFERROR(INDEX(Rubric!$C$63:$C$67,MATCH($I51,Rubric!$B$63:$B$67,1)),0))</f>
        <v/>
      </c>
      <c r="AF51" s="45" t="str">
        <f>IF($A51="","",IF($P51="Yes",Rubric!$C$71,0)+IF($R51="Yes",Rubric!$C$72,0)+IF($Q51="Buy 1 Take 1 or better",Rubric!$C$73,0))</f>
        <v/>
      </c>
      <c r="AG51" s="45" t="str">
        <f>IF($A51="","",IFERROR($V51*Rubric!$C$77,0))</f>
        <v/>
      </c>
      <c r="AH51" s="45" t="str">
        <f>IF($A51="","",IF($T51="Yes",Rubric!$C$81,0)+IF($U51="Yes",Rubric!$C$82,0))</f>
        <v/>
      </c>
      <c r="AI51" s="46" t="str">
        <f t="shared" si="2"/>
        <v/>
      </c>
      <c r="AJ51" s="44" t="str">
        <f t="array" ref="AJ51">IF($A51="","",IF($Y51="FAIL","Rejected — failed gate",IFERROR(INDEX(Rubric!$C$86:$C$89,MATCH($AI51,Rubric!$B$86:$B$89,1)),"")))</f>
        <v/>
      </c>
      <c r="AK51" s="47" t="str">
        <f t="shared" si="3"/>
        <v/>
      </c>
    </row>
    <row r="52" ht="15.75" customHeight="1">
      <c r="A52" s="30"/>
      <c r="B52" s="30"/>
      <c r="C52" s="30"/>
      <c r="D52" s="30"/>
      <c r="E52" s="30"/>
      <c r="F52" s="30"/>
      <c r="G52" s="40"/>
      <c r="H52" s="40"/>
      <c r="I52" s="41" t="str">
        <f t="shared" si="1"/>
        <v/>
      </c>
      <c r="J52" s="42"/>
      <c r="K52" s="43"/>
      <c r="L52" s="42"/>
      <c r="M52" s="30"/>
      <c r="N52" s="30"/>
      <c r="O52" s="43"/>
      <c r="P52" s="30"/>
      <c r="Q52" s="30"/>
      <c r="R52" s="30"/>
      <c r="S52" s="30"/>
      <c r="T52" s="30"/>
      <c r="U52" s="30"/>
      <c r="V52" s="30"/>
      <c r="W52" s="34"/>
      <c r="X52" s="34"/>
      <c r="Y52" s="44" t="str">
        <f>IF($A52="","",IF(AND($J52&gt;=Rubric!$B$5,$K52&gt;=Rubric!$B$6,$L52&gt;=Rubric!$B$7,$S52=Rubric!$B$8,OR($N52="Shopee Mall",$N52="Preferred Plus",$N52="Preferred")),"PASS","FAIL"))</f>
        <v/>
      </c>
      <c r="Z52" s="45" t="str">
        <f t="array" ref="Z52">IF($A52="","",IFERROR(INDEX(Rubric!$C$26:$C$30,MATCH($J52,Rubric!$B$26:$B$30,1)),0))</f>
        <v/>
      </c>
      <c r="AA52" s="45" t="str">
        <f t="array" ref="AA52">IF($A52="","",IFERROR(INDEX(Rubric!$C$34:$C$37,MATCH($K52,Rubric!$B$34:$B$37,1)),0))</f>
        <v/>
      </c>
      <c r="AB52" s="45" t="str">
        <f t="array" ref="AB52">IF($A52="","",IFERROR(INDEX(Rubric!$C$41:$C$45,MATCH($L52,Rubric!$B$41:$B$45,1)),0))</f>
        <v/>
      </c>
      <c r="AC52" s="45" t="str">
        <f t="array" ref="AC52">IF($A52="","",IFERROR(INDEX(Rubric!$C$49:$C$52,MATCH($N52,Rubric!$B$49:$B$52,0)),0))</f>
        <v/>
      </c>
      <c r="AD52" s="45" t="str">
        <f t="array" ref="AD52">IF($A52="","",IFERROR(INDEX(Rubric!$C$56:$C$59,MATCH($O52,Rubric!$B$56:$B$59,1)),0))</f>
        <v/>
      </c>
      <c r="AE52" s="45" t="str">
        <f t="array" ref="AE52">IF($A52="","",IFERROR(INDEX(Rubric!$C$63:$C$67,MATCH($I52,Rubric!$B$63:$B$67,1)),0))</f>
        <v/>
      </c>
      <c r="AF52" s="45" t="str">
        <f>IF($A52="","",IF($P52="Yes",Rubric!$C$71,0)+IF($R52="Yes",Rubric!$C$72,0)+IF($Q52="Buy 1 Take 1 or better",Rubric!$C$73,0))</f>
        <v/>
      </c>
      <c r="AG52" s="45" t="str">
        <f>IF($A52="","",IFERROR($V52*Rubric!$C$77,0))</f>
        <v/>
      </c>
      <c r="AH52" s="45" t="str">
        <f>IF($A52="","",IF($T52="Yes",Rubric!$C$81,0)+IF($U52="Yes",Rubric!$C$82,0))</f>
        <v/>
      </c>
      <c r="AI52" s="46" t="str">
        <f t="shared" si="2"/>
        <v/>
      </c>
      <c r="AJ52" s="44" t="str">
        <f t="array" ref="AJ52">IF($A52="","",IF($Y52="FAIL","Rejected — failed gate",IFERROR(INDEX(Rubric!$C$86:$C$89,MATCH($AI52,Rubric!$B$86:$B$89,1)),"")))</f>
        <v/>
      </c>
      <c r="AK52" s="47" t="str">
        <f t="shared" si="3"/>
        <v/>
      </c>
    </row>
    <row r="53" ht="15.75" customHeight="1">
      <c r="A53" s="30"/>
      <c r="B53" s="30"/>
      <c r="C53" s="30"/>
      <c r="D53" s="30"/>
      <c r="E53" s="30"/>
      <c r="F53" s="30"/>
      <c r="G53" s="40"/>
      <c r="H53" s="40"/>
      <c r="I53" s="41" t="str">
        <f t="shared" si="1"/>
        <v/>
      </c>
      <c r="J53" s="42"/>
      <c r="K53" s="43"/>
      <c r="L53" s="42"/>
      <c r="M53" s="30"/>
      <c r="N53" s="30"/>
      <c r="O53" s="43"/>
      <c r="P53" s="30"/>
      <c r="Q53" s="30"/>
      <c r="R53" s="30"/>
      <c r="S53" s="30"/>
      <c r="T53" s="30"/>
      <c r="U53" s="30"/>
      <c r="V53" s="30"/>
      <c r="W53" s="34"/>
      <c r="X53" s="34"/>
      <c r="Y53" s="44" t="str">
        <f>IF($A53="","",IF(AND($J53&gt;=Rubric!$B$5,$K53&gt;=Rubric!$B$6,$L53&gt;=Rubric!$B$7,$S53=Rubric!$B$8,OR($N53="Shopee Mall",$N53="Preferred Plus",$N53="Preferred")),"PASS","FAIL"))</f>
        <v/>
      </c>
      <c r="Z53" s="45" t="str">
        <f t="array" ref="Z53">IF($A53="","",IFERROR(INDEX(Rubric!$C$26:$C$30,MATCH($J53,Rubric!$B$26:$B$30,1)),0))</f>
        <v/>
      </c>
      <c r="AA53" s="45" t="str">
        <f t="array" ref="AA53">IF($A53="","",IFERROR(INDEX(Rubric!$C$34:$C$37,MATCH($K53,Rubric!$B$34:$B$37,1)),0))</f>
        <v/>
      </c>
      <c r="AB53" s="45" t="str">
        <f t="array" ref="AB53">IF($A53="","",IFERROR(INDEX(Rubric!$C$41:$C$45,MATCH($L53,Rubric!$B$41:$B$45,1)),0))</f>
        <v/>
      </c>
      <c r="AC53" s="45" t="str">
        <f t="array" ref="AC53">IF($A53="","",IFERROR(INDEX(Rubric!$C$49:$C$52,MATCH($N53,Rubric!$B$49:$B$52,0)),0))</f>
        <v/>
      </c>
      <c r="AD53" s="45" t="str">
        <f t="array" ref="AD53">IF($A53="","",IFERROR(INDEX(Rubric!$C$56:$C$59,MATCH($O53,Rubric!$B$56:$B$59,1)),0))</f>
        <v/>
      </c>
      <c r="AE53" s="45" t="str">
        <f t="array" ref="AE53">IF($A53="","",IFERROR(INDEX(Rubric!$C$63:$C$67,MATCH($I53,Rubric!$B$63:$B$67,1)),0))</f>
        <v/>
      </c>
      <c r="AF53" s="45" t="str">
        <f>IF($A53="","",IF($P53="Yes",Rubric!$C$71,0)+IF($R53="Yes",Rubric!$C$72,0)+IF($Q53="Buy 1 Take 1 or better",Rubric!$C$73,0))</f>
        <v/>
      </c>
      <c r="AG53" s="45" t="str">
        <f>IF($A53="","",IFERROR($V53*Rubric!$C$77,0))</f>
        <v/>
      </c>
      <c r="AH53" s="45" t="str">
        <f>IF($A53="","",IF($T53="Yes",Rubric!$C$81,0)+IF($U53="Yes",Rubric!$C$82,0))</f>
        <v/>
      </c>
      <c r="AI53" s="46" t="str">
        <f t="shared" si="2"/>
        <v/>
      </c>
      <c r="AJ53" s="44" t="str">
        <f t="array" ref="AJ53">IF($A53="","",IF($Y53="FAIL","Rejected — failed gate",IFERROR(INDEX(Rubric!$C$86:$C$89,MATCH($AI53,Rubric!$B$86:$B$89,1)),"")))</f>
        <v/>
      </c>
      <c r="AK53" s="47" t="str">
        <f t="shared" si="3"/>
        <v/>
      </c>
    </row>
    <row r="54" ht="15.75" customHeight="1">
      <c r="A54" s="30"/>
      <c r="B54" s="30"/>
      <c r="C54" s="30"/>
      <c r="D54" s="30"/>
      <c r="E54" s="30"/>
      <c r="F54" s="30"/>
      <c r="G54" s="40"/>
      <c r="H54" s="40"/>
      <c r="I54" s="41" t="str">
        <f t="shared" si="1"/>
        <v/>
      </c>
      <c r="J54" s="42"/>
      <c r="K54" s="43"/>
      <c r="L54" s="42"/>
      <c r="M54" s="30"/>
      <c r="N54" s="30"/>
      <c r="O54" s="43"/>
      <c r="P54" s="30"/>
      <c r="Q54" s="30"/>
      <c r="R54" s="30"/>
      <c r="S54" s="30"/>
      <c r="T54" s="30"/>
      <c r="U54" s="30"/>
      <c r="V54" s="30"/>
      <c r="W54" s="34"/>
      <c r="X54" s="34"/>
      <c r="Y54" s="44" t="str">
        <f>IF($A54="","",IF(AND($J54&gt;=Rubric!$B$5,$K54&gt;=Rubric!$B$6,$L54&gt;=Rubric!$B$7,$S54=Rubric!$B$8,OR($N54="Shopee Mall",$N54="Preferred Plus",$N54="Preferred")),"PASS","FAIL"))</f>
        <v/>
      </c>
      <c r="Z54" s="45" t="str">
        <f t="array" ref="Z54">IF($A54="","",IFERROR(INDEX(Rubric!$C$26:$C$30,MATCH($J54,Rubric!$B$26:$B$30,1)),0))</f>
        <v/>
      </c>
      <c r="AA54" s="45" t="str">
        <f t="array" ref="AA54">IF($A54="","",IFERROR(INDEX(Rubric!$C$34:$C$37,MATCH($K54,Rubric!$B$34:$B$37,1)),0))</f>
        <v/>
      </c>
      <c r="AB54" s="45" t="str">
        <f t="array" ref="AB54">IF($A54="","",IFERROR(INDEX(Rubric!$C$41:$C$45,MATCH($L54,Rubric!$B$41:$B$45,1)),0))</f>
        <v/>
      </c>
      <c r="AC54" s="45" t="str">
        <f t="array" ref="AC54">IF($A54="","",IFERROR(INDEX(Rubric!$C$49:$C$52,MATCH($N54,Rubric!$B$49:$B$52,0)),0))</f>
        <v/>
      </c>
      <c r="AD54" s="45" t="str">
        <f t="array" ref="AD54">IF($A54="","",IFERROR(INDEX(Rubric!$C$56:$C$59,MATCH($O54,Rubric!$B$56:$B$59,1)),0))</f>
        <v/>
      </c>
      <c r="AE54" s="45" t="str">
        <f t="array" ref="AE54">IF($A54="","",IFERROR(INDEX(Rubric!$C$63:$C$67,MATCH($I54,Rubric!$B$63:$B$67,1)),0))</f>
        <v/>
      </c>
      <c r="AF54" s="45" t="str">
        <f>IF($A54="","",IF($P54="Yes",Rubric!$C$71,0)+IF($R54="Yes",Rubric!$C$72,0)+IF($Q54="Buy 1 Take 1 or better",Rubric!$C$73,0))</f>
        <v/>
      </c>
      <c r="AG54" s="45" t="str">
        <f>IF($A54="","",IFERROR($V54*Rubric!$C$77,0))</f>
        <v/>
      </c>
      <c r="AH54" s="45" t="str">
        <f>IF($A54="","",IF($T54="Yes",Rubric!$C$81,0)+IF($U54="Yes",Rubric!$C$82,0))</f>
        <v/>
      </c>
      <c r="AI54" s="46" t="str">
        <f t="shared" si="2"/>
        <v/>
      </c>
      <c r="AJ54" s="44" t="str">
        <f t="array" ref="AJ54">IF($A54="","",IF($Y54="FAIL","Rejected — failed gate",IFERROR(INDEX(Rubric!$C$86:$C$89,MATCH($AI54,Rubric!$B$86:$B$89,1)),"")))</f>
        <v/>
      </c>
      <c r="AK54" s="47" t="str">
        <f t="shared" si="3"/>
        <v/>
      </c>
    </row>
    <row r="55" ht="15.75" customHeight="1">
      <c r="A55" s="30"/>
      <c r="B55" s="30"/>
      <c r="C55" s="30"/>
      <c r="D55" s="30"/>
      <c r="E55" s="30"/>
      <c r="F55" s="30"/>
      <c r="G55" s="40"/>
      <c r="H55" s="40"/>
      <c r="I55" s="41" t="str">
        <f t="shared" si="1"/>
        <v/>
      </c>
      <c r="J55" s="42"/>
      <c r="K55" s="43"/>
      <c r="L55" s="42"/>
      <c r="M55" s="30"/>
      <c r="N55" s="30"/>
      <c r="O55" s="43"/>
      <c r="P55" s="30"/>
      <c r="Q55" s="30"/>
      <c r="R55" s="30"/>
      <c r="S55" s="30"/>
      <c r="T55" s="30"/>
      <c r="U55" s="30"/>
      <c r="V55" s="30"/>
      <c r="W55" s="34"/>
      <c r="X55" s="34"/>
      <c r="Y55" s="44" t="str">
        <f>IF($A55="","",IF(AND($J55&gt;=Rubric!$B$5,$K55&gt;=Rubric!$B$6,$L55&gt;=Rubric!$B$7,$S55=Rubric!$B$8,OR($N55="Shopee Mall",$N55="Preferred Plus",$N55="Preferred")),"PASS","FAIL"))</f>
        <v/>
      </c>
      <c r="Z55" s="45" t="str">
        <f t="array" ref="Z55">IF($A55="","",IFERROR(INDEX(Rubric!$C$26:$C$30,MATCH($J55,Rubric!$B$26:$B$30,1)),0))</f>
        <v/>
      </c>
      <c r="AA55" s="45" t="str">
        <f t="array" ref="AA55">IF($A55="","",IFERROR(INDEX(Rubric!$C$34:$C$37,MATCH($K55,Rubric!$B$34:$B$37,1)),0))</f>
        <v/>
      </c>
      <c r="AB55" s="45" t="str">
        <f t="array" ref="AB55">IF($A55="","",IFERROR(INDEX(Rubric!$C$41:$C$45,MATCH($L55,Rubric!$B$41:$B$45,1)),0))</f>
        <v/>
      </c>
      <c r="AC55" s="45" t="str">
        <f t="array" ref="AC55">IF($A55="","",IFERROR(INDEX(Rubric!$C$49:$C$52,MATCH($N55,Rubric!$B$49:$B$52,0)),0))</f>
        <v/>
      </c>
      <c r="AD55" s="45" t="str">
        <f t="array" ref="AD55">IF($A55="","",IFERROR(INDEX(Rubric!$C$56:$C$59,MATCH($O55,Rubric!$B$56:$B$59,1)),0))</f>
        <v/>
      </c>
      <c r="AE55" s="45" t="str">
        <f t="array" ref="AE55">IF($A55="","",IFERROR(INDEX(Rubric!$C$63:$C$67,MATCH($I55,Rubric!$B$63:$B$67,1)),0))</f>
        <v/>
      </c>
      <c r="AF55" s="45" t="str">
        <f>IF($A55="","",IF($P55="Yes",Rubric!$C$71,0)+IF($R55="Yes",Rubric!$C$72,0)+IF($Q55="Buy 1 Take 1 or better",Rubric!$C$73,0))</f>
        <v/>
      </c>
      <c r="AG55" s="45" t="str">
        <f>IF($A55="","",IFERROR($V55*Rubric!$C$77,0))</f>
        <v/>
      </c>
      <c r="AH55" s="45" t="str">
        <f>IF($A55="","",IF($T55="Yes",Rubric!$C$81,0)+IF($U55="Yes",Rubric!$C$82,0))</f>
        <v/>
      </c>
      <c r="AI55" s="46" t="str">
        <f t="shared" si="2"/>
        <v/>
      </c>
      <c r="AJ55" s="44" t="str">
        <f t="array" ref="AJ55">IF($A55="","",IF($Y55="FAIL","Rejected — failed gate",IFERROR(INDEX(Rubric!$C$86:$C$89,MATCH($AI55,Rubric!$B$86:$B$89,1)),"")))</f>
        <v/>
      </c>
      <c r="AK55" s="47" t="str">
        <f t="shared" si="3"/>
        <v/>
      </c>
    </row>
    <row r="56" ht="15.75" customHeight="1">
      <c r="A56" s="30"/>
      <c r="B56" s="30"/>
      <c r="C56" s="30"/>
      <c r="D56" s="30"/>
      <c r="E56" s="30"/>
      <c r="F56" s="30"/>
      <c r="G56" s="40"/>
      <c r="H56" s="40"/>
      <c r="I56" s="41" t="str">
        <f t="shared" si="1"/>
        <v/>
      </c>
      <c r="J56" s="42"/>
      <c r="K56" s="43"/>
      <c r="L56" s="42"/>
      <c r="M56" s="30"/>
      <c r="N56" s="30"/>
      <c r="O56" s="43"/>
      <c r="P56" s="30"/>
      <c r="Q56" s="30"/>
      <c r="R56" s="30"/>
      <c r="S56" s="30"/>
      <c r="T56" s="30"/>
      <c r="U56" s="30"/>
      <c r="V56" s="30"/>
      <c r="W56" s="34"/>
      <c r="X56" s="34"/>
      <c r="Y56" s="44" t="str">
        <f>IF($A56="","",IF(AND($J56&gt;=Rubric!$B$5,$K56&gt;=Rubric!$B$6,$L56&gt;=Rubric!$B$7,$S56=Rubric!$B$8,OR($N56="Shopee Mall",$N56="Preferred Plus",$N56="Preferred")),"PASS","FAIL"))</f>
        <v/>
      </c>
      <c r="Z56" s="45" t="str">
        <f t="array" ref="Z56">IF($A56="","",IFERROR(INDEX(Rubric!$C$26:$C$30,MATCH($J56,Rubric!$B$26:$B$30,1)),0))</f>
        <v/>
      </c>
      <c r="AA56" s="45" t="str">
        <f t="array" ref="AA56">IF($A56="","",IFERROR(INDEX(Rubric!$C$34:$C$37,MATCH($K56,Rubric!$B$34:$B$37,1)),0))</f>
        <v/>
      </c>
      <c r="AB56" s="45" t="str">
        <f t="array" ref="AB56">IF($A56="","",IFERROR(INDEX(Rubric!$C$41:$C$45,MATCH($L56,Rubric!$B$41:$B$45,1)),0))</f>
        <v/>
      </c>
      <c r="AC56" s="45" t="str">
        <f t="array" ref="AC56">IF($A56="","",IFERROR(INDEX(Rubric!$C$49:$C$52,MATCH($N56,Rubric!$B$49:$B$52,0)),0))</f>
        <v/>
      </c>
      <c r="AD56" s="45" t="str">
        <f t="array" ref="AD56">IF($A56="","",IFERROR(INDEX(Rubric!$C$56:$C$59,MATCH($O56,Rubric!$B$56:$B$59,1)),0))</f>
        <v/>
      </c>
      <c r="AE56" s="45" t="str">
        <f t="array" ref="AE56">IF($A56="","",IFERROR(INDEX(Rubric!$C$63:$C$67,MATCH($I56,Rubric!$B$63:$B$67,1)),0))</f>
        <v/>
      </c>
      <c r="AF56" s="45" t="str">
        <f>IF($A56="","",IF($P56="Yes",Rubric!$C$71,0)+IF($R56="Yes",Rubric!$C$72,0)+IF($Q56="Buy 1 Take 1 or better",Rubric!$C$73,0))</f>
        <v/>
      </c>
      <c r="AG56" s="45" t="str">
        <f>IF($A56="","",IFERROR($V56*Rubric!$C$77,0))</f>
        <v/>
      </c>
      <c r="AH56" s="45" t="str">
        <f>IF($A56="","",IF($T56="Yes",Rubric!$C$81,0)+IF($U56="Yes",Rubric!$C$82,0))</f>
        <v/>
      </c>
      <c r="AI56" s="46" t="str">
        <f t="shared" si="2"/>
        <v/>
      </c>
      <c r="AJ56" s="44" t="str">
        <f t="array" ref="AJ56">IF($A56="","",IF($Y56="FAIL","Rejected — failed gate",IFERROR(INDEX(Rubric!$C$86:$C$89,MATCH($AI56,Rubric!$B$86:$B$89,1)),"")))</f>
        <v/>
      </c>
      <c r="AK56" s="47" t="str">
        <f t="shared" si="3"/>
        <v/>
      </c>
    </row>
    <row r="57" ht="15.75" customHeight="1">
      <c r="A57" s="30"/>
      <c r="B57" s="30"/>
      <c r="C57" s="30"/>
      <c r="D57" s="30"/>
      <c r="E57" s="30"/>
      <c r="F57" s="30"/>
      <c r="G57" s="40"/>
      <c r="H57" s="40"/>
      <c r="I57" s="41" t="str">
        <f t="shared" si="1"/>
        <v/>
      </c>
      <c r="J57" s="42"/>
      <c r="K57" s="43"/>
      <c r="L57" s="42"/>
      <c r="M57" s="30"/>
      <c r="N57" s="30"/>
      <c r="O57" s="43"/>
      <c r="P57" s="30"/>
      <c r="Q57" s="30"/>
      <c r="R57" s="30"/>
      <c r="S57" s="30"/>
      <c r="T57" s="30"/>
      <c r="U57" s="30"/>
      <c r="V57" s="30"/>
      <c r="W57" s="34"/>
      <c r="X57" s="34"/>
      <c r="Y57" s="44" t="str">
        <f>IF($A57="","",IF(AND($J57&gt;=Rubric!$B$5,$K57&gt;=Rubric!$B$6,$L57&gt;=Rubric!$B$7,$S57=Rubric!$B$8,OR($N57="Shopee Mall",$N57="Preferred Plus",$N57="Preferred")),"PASS","FAIL"))</f>
        <v/>
      </c>
      <c r="Z57" s="45" t="str">
        <f t="array" ref="Z57">IF($A57="","",IFERROR(INDEX(Rubric!$C$26:$C$30,MATCH($J57,Rubric!$B$26:$B$30,1)),0))</f>
        <v/>
      </c>
      <c r="AA57" s="45" t="str">
        <f t="array" ref="AA57">IF($A57="","",IFERROR(INDEX(Rubric!$C$34:$C$37,MATCH($K57,Rubric!$B$34:$B$37,1)),0))</f>
        <v/>
      </c>
      <c r="AB57" s="45" t="str">
        <f t="array" ref="AB57">IF($A57="","",IFERROR(INDEX(Rubric!$C$41:$C$45,MATCH($L57,Rubric!$B$41:$B$45,1)),0))</f>
        <v/>
      </c>
      <c r="AC57" s="45" t="str">
        <f t="array" ref="AC57">IF($A57="","",IFERROR(INDEX(Rubric!$C$49:$C$52,MATCH($N57,Rubric!$B$49:$B$52,0)),0))</f>
        <v/>
      </c>
      <c r="AD57" s="45" t="str">
        <f t="array" ref="AD57">IF($A57="","",IFERROR(INDEX(Rubric!$C$56:$C$59,MATCH($O57,Rubric!$B$56:$B$59,1)),0))</f>
        <v/>
      </c>
      <c r="AE57" s="45" t="str">
        <f t="array" ref="AE57">IF($A57="","",IFERROR(INDEX(Rubric!$C$63:$C$67,MATCH($I57,Rubric!$B$63:$B$67,1)),0))</f>
        <v/>
      </c>
      <c r="AF57" s="45" t="str">
        <f>IF($A57="","",IF($P57="Yes",Rubric!$C$71,0)+IF($R57="Yes",Rubric!$C$72,0)+IF($Q57="Buy 1 Take 1 or better",Rubric!$C$73,0))</f>
        <v/>
      </c>
      <c r="AG57" s="45" t="str">
        <f>IF($A57="","",IFERROR($V57*Rubric!$C$77,0))</f>
        <v/>
      </c>
      <c r="AH57" s="45" t="str">
        <f>IF($A57="","",IF($T57="Yes",Rubric!$C$81,0)+IF($U57="Yes",Rubric!$C$82,0))</f>
        <v/>
      </c>
      <c r="AI57" s="46" t="str">
        <f t="shared" si="2"/>
        <v/>
      </c>
      <c r="AJ57" s="44" t="str">
        <f t="array" ref="AJ57">IF($A57="","",IF($Y57="FAIL","Rejected — failed gate",IFERROR(INDEX(Rubric!$C$86:$C$89,MATCH($AI57,Rubric!$B$86:$B$89,1)),"")))</f>
        <v/>
      </c>
      <c r="AK57" s="47" t="str">
        <f t="shared" si="3"/>
        <v/>
      </c>
    </row>
    <row r="58" ht="15.75" customHeight="1">
      <c r="A58" s="30"/>
      <c r="B58" s="30"/>
      <c r="C58" s="30"/>
      <c r="D58" s="30"/>
      <c r="E58" s="30"/>
      <c r="F58" s="30"/>
      <c r="G58" s="40"/>
      <c r="H58" s="40"/>
      <c r="I58" s="41" t="str">
        <f t="shared" si="1"/>
        <v/>
      </c>
      <c r="J58" s="42"/>
      <c r="K58" s="43"/>
      <c r="L58" s="42"/>
      <c r="M58" s="30"/>
      <c r="N58" s="30"/>
      <c r="O58" s="43"/>
      <c r="P58" s="30"/>
      <c r="Q58" s="30"/>
      <c r="R58" s="30"/>
      <c r="S58" s="30"/>
      <c r="T58" s="30"/>
      <c r="U58" s="30"/>
      <c r="V58" s="30"/>
      <c r="W58" s="34"/>
      <c r="X58" s="34"/>
      <c r="Y58" s="44" t="str">
        <f>IF($A58="","",IF(AND($J58&gt;=Rubric!$B$5,$K58&gt;=Rubric!$B$6,$L58&gt;=Rubric!$B$7,$S58=Rubric!$B$8,OR($N58="Shopee Mall",$N58="Preferred Plus",$N58="Preferred")),"PASS","FAIL"))</f>
        <v/>
      </c>
      <c r="Z58" s="45" t="str">
        <f t="array" ref="Z58">IF($A58="","",IFERROR(INDEX(Rubric!$C$26:$C$30,MATCH($J58,Rubric!$B$26:$B$30,1)),0))</f>
        <v/>
      </c>
      <c r="AA58" s="45" t="str">
        <f t="array" ref="AA58">IF($A58="","",IFERROR(INDEX(Rubric!$C$34:$C$37,MATCH($K58,Rubric!$B$34:$B$37,1)),0))</f>
        <v/>
      </c>
      <c r="AB58" s="45" t="str">
        <f t="array" ref="AB58">IF($A58="","",IFERROR(INDEX(Rubric!$C$41:$C$45,MATCH($L58,Rubric!$B$41:$B$45,1)),0))</f>
        <v/>
      </c>
      <c r="AC58" s="45" t="str">
        <f t="array" ref="AC58">IF($A58="","",IFERROR(INDEX(Rubric!$C$49:$C$52,MATCH($N58,Rubric!$B$49:$B$52,0)),0))</f>
        <v/>
      </c>
      <c r="AD58" s="45" t="str">
        <f t="array" ref="AD58">IF($A58="","",IFERROR(INDEX(Rubric!$C$56:$C$59,MATCH($O58,Rubric!$B$56:$B$59,1)),0))</f>
        <v/>
      </c>
      <c r="AE58" s="45" t="str">
        <f t="array" ref="AE58">IF($A58="","",IFERROR(INDEX(Rubric!$C$63:$C$67,MATCH($I58,Rubric!$B$63:$B$67,1)),0))</f>
        <v/>
      </c>
      <c r="AF58" s="45" t="str">
        <f>IF($A58="","",IF($P58="Yes",Rubric!$C$71,0)+IF($R58="Yes",Rubric!$C$72,0)+IF($Q58="Buy 1 Take 1 or better",Rubric!$C$73,0))</f>
        <v/>
      </c>
      <c r="AG58" s="45" t="str">
        <f>IF($A58="","",IFERROR($V58*Rubric!$C$77,0))</f>
        <v/>
      </c>
      <c r="AH58" s="45" t="str">
        <f>IF($A58="","",IF($T58="Yes",Rubric!$C$81,0)+IF($U58="Yes",Rubric!$C$82,0))</f>
        <v/>
      </c>
      <c r="AI58" s="46" t="str">
        <f t="shared" si="2"/>
        <v/>
      </c>
      <c r="AJ58" s="44" t="str">
        <f t="array" ref="AJ58">IF($A58="","",IF($Y58="FAIL","Rejected — failed gate",IFERROR(INDEX(Rubric!$C$86:$C$89,MATCH($AI58,Rubric!$B$86:$B$89,1)),"")))</f>
        <v/>
      </c>
      <c r="AK58" s="47" t="str">
        <f t="shared" si="3"/>
        <v/>
      </c>
    </row>
    <row r="59" ht="15.75" customHeight="1">
      <c r="A59" s="30"/>
      <c r="B59" s="30"/>
      <c r="C59" s="30"/>
      <c r="D59" s="30"/>
      <c r="E59" s="30"/>
      <c r="F59" s="30"/>
      <c r="G59" s="40"/>
      <c r="H59" s="40"/>
      <c r="I59" s="41" t="str">
        <f t="shared" si="1"/>
        <v/>
      </c>
      <c r="J59" s="42"/>
      <c r="K59" s="43"/>
      <c r="L59" s="42"/>
      <c r="M59" s="30"/>
      <c r="N59" s="30"/>
      <c r="O59" s="43"/>
      <c r="P59" s="30"/>
      <c r="Q59" s="30"/>
      <c r="R59" s="30"/>
      <c r="S59" s="30"/>
      <c r="T59" s="30"/>
      <c r="U59" s="30"/>
      <c r="V59" s="30"/>
      <c r="W59" s="34"/>
      <c r="X59" s="34"/>
      <c r="Y59" s="44" t="str">
        <f>IF($A59="","",IF(AND($J59&gt;=Rubric!$B$5,$K59&gt;=Rubric!$B$6,$L59&gt;=Rubric!$B$7,$S59=Rubric!$B$8,OR($N59="Shopee Mall",$N59="Preferred Plus",$N59="Preferred")),"PASS","FAIL"))</f>
        <v/>
      </c>
      <c r="Z59" s="45" t="str">
        <f t="array" ref="Z59">IF($A59="","",IFERROR(INDEX(Rubric!$C$26:$C$30,MATCH($J59,Rubric!$B$26:$B$30,1)),0))</f>
        <v/>
      </c>
      <c r="AA59" s="45" t="str">
        <f t="array" ref="AA59">IF($A59="","",IFERROR(INDEX(Rubric!$C$34:$C$37,MATCH($K59,Rubric!$B$34:$B$37,1)),0))</f>
        <v/>
      </c>
      <c r="AB59" s="45" t="str">
        <f t="array" ref="AB59">IF($A59="","",IFERROR(INDEX(Rubric!$C$41:$C$45,MATCH($L59,Rubric!$B$41:$B$45,1)),0))</f>
        <v/>
      </c>
      <c r="AC59" s="45" t="str">
        <f t="array" ref="AC59">IF($A59="","",IFERROR(INDEX(Rubric!$C$49:$C$52,MATCH($N59,Rubric!$B$49:$B$52,0)),0))</f>
        <v/>
      </c>
      <c r="AD59" s="45" t="str">
        <f t="array" ref="AD59">IF($A59="","",IFERROR(INDEX(Rubric!$C$56:$C$59,MATCH($O59,Rubric!$B$56:$B$59,1)),0))</f>
        <v/>
      </c>
      <c r="AE59" s="45" t="str">
        <f t="array" ref="AE59">IF($A59="","",IFERROR(INDEX(Rubric!$C$63:$C$67,MATCH($I59,Rubric!$B$63:$B$67,1)),0))</f>
        <v/>
      </c>
      <c r="AF59" s="45" t="str">
        <f>IF($A59="","",IF($P59="Yes",Rubric!$C$71,0)+IF($R59="Yes",Rubric!$C$72,0)+IF($Q59="Buy 1 Take 1 or better",Rubric!$C$73,0))</f>
        <v/>
      </c>
      <c r="AG59" s="45" t="str">
        <f>IF($A59="","",IFERROR($V59*Rubric!$C$77,0))</f>
        <v/>
      </c>
      <c r="AH59" s="45" t="str">
        <f>IF($A59="","",IF($T59="Yes",Rubric!$C$81,0)+IF($U59="Yes",Rubric!$C$82,0))</f>
        <v/>
      </c>
      <c r="AI59" s="46" t="str">
        <f t="shared" si="2"/>
        <v/>
      </c>
      <c r="AJ59" s="44" t="str">
        <f t="array" ref="AJ59">IF($A59="","",IF($Y59="FAIL","Rejected — failed gate",IFERROR(INDEX(Rubric!$C$86:$C$89,MATCH($AI59,Rubric!$B$86:$B$89,1)),"")))</f>
        <v/>
      </c>
      <c r="AK59" s="47" t="str">
        <f t="shared" si="3"/>
        <v/>
      </c>
    </row>
    <row r="60" ht="15.75" customHeight="1">
      <c r="A60" s="30"/>
      <c r="B60" s="30"/>
      <c r="C60" s="30"/>
      <c r="D60" s="30"/>
      <c r="E60" s="30"/>
      <c r="F60" s="30"/>
      <c r="G60" s="40"/>
      <c r="H60" s="40"/>
      <c r="I60" s="41" t="str">
        <f t="shared" si="1"/>
        <v/>
      </c>
      <c r="J60" s="42"/>
      <c r="K60" s="43"/>
      <c r="L60" s="42"/>
      <c r="M60" s="30"/>
      <c r="N60" s="30"/>
      <c r="O60" s="43"/>
      <c r="P60" s="30"/>
      <c r="Q60" s="30"/>
      <c r="R60" s="30"/>
      <c r="S60" s="30"/>
      <c r="T60" s="30"/>
      <c r="U60" s="30"/>
      <c r="V60" s="30"/>
      <c r="W60" s="34"/>
      <c r="X60" s="34"/>
      <c r="Y60" s="44" t="str">
        <f>IF($A60="","",IF(AND($J60&gt;=Rubric!$B$5,$K60&gt;=Rubric!$B$6,$L60&gt;=Rubric!$B$7,$S60=Rubric!$B$8,OR($N60="Shopee Mall",$N60="Preferred Plus",$N60="Preferred")),"PASS","FAIL"))</f>
        <v/>
      </c>
      <c r="Z60" s="45" t="str">
        <f t="array" ref="Z60">IF($A60="","",IFERROR(INDEX(Rubric!$C$26:$C$30,MATCH($J60,Rubric!$B$26:$B$30,1)),0))</f>
        <v/>
      </c>
      <c r="AA60" s="45" t="str">
        <f t="array" ref="AA60">IF($A60="","",IFERROR(INDEX(Rubric!$C$34:$C$37,MATCH($K60,Rubric!$B$34:$B$37,1)),0))</f>
        <v/>
      </c>
      <c r="AB60" s="45" t="str">
        <f t="array" ref="AB60">IF($A60="","",IFERROR(INDEX(Rubric!$C$41:$C$45,MATCH($L60,Rubric!$B$41:$B$45,1)),0))</f>
        <v/>
      </c>
      <c r="AC60" s="45" t="str">
        <f t="array" ref="AC60">IF($A60="","",IFERROR(INDEX(Rubric!$C$49:$C$52,MATCH($N60,Rubric!$B$49:$B$52,0)),0))</f>
        <v/>
      </c>
      <c r="AD60" s="45" t="str">
        <f t="array" ref="AD60">IF($A60="","",IFERROR(INDEX(Rubric!$C$56:$C$59,MATCH($O60,Rubric!$B$56:$B$59,1)),0))</f>
        <v/>
      </c>
      <c r="AE60" s="45" t="str">
        <f t="array" ref="AE60">IF($A60="","",IFERROR(INDEX(Rubric!$C$63:$C$67,MATCH($I60,Rubric!$B$63:$B$67,1)),0))</f>
        <v/>
      </c>
      <c r="AF60" s="45" t="str">
        <f>IF($A60="","",IF($P60="Yes",Rubric!$C$71,0)+IF($R60="Yes",Rubric!$C$72,0)+IF($Q60="Buy 1 Take 1 or better",Rubric!$C$73,0))</f>
        <v/>
      </c>
      <c r="AG60" s="45" t="str">
        <f>IF($A60="","",IFERROR($V60*Rubric!$C$77,0))</f>
        <v/>
      </c>
      <c r="AH60" s="45" t="str">
        <f>IF($A60="","",IF($T60="Yes",Rubric!$C$81,0)+IF($U60="Yes",Rubric!$C$82,0))</f>
        <v/>
      </c>
      <c r="AI60" s="46" t="str">
        <f t="shared" si="2"/>
        <v/>
      </c>
      <c r="AJ60" s="44" t="str">
        <f t="array" ref="AJ60">IF($A60="","",IF($Y60="FAIL","Rejected — failed gate",IFERROR(INDEX(Rubric!$C$86:$C$89,MATCH($AI60,Rubric!$B$86:$B$89,1)),"")))</f>
        <v/>
      </c>
      <c r="AK60" s="47" t="str">
        <f t="shared" si="3"/>
        <v/>
      </c>
    </row>
    <row r="61" ht="15.75" customHeight="1">
      <c r="A61" s="30"/>
      <c r="B61" s="30"/>
      <c r="C61" s="30"/>
      <c r="D61" s="30"/>
      <c r="E61" s="30"/>
      <c r="F61" s="30"/>
      <c r="G61" s="40"/>
      <c r="H61" s="40"/>
      <c r="I61" s="41" t="str">
        <f t="shared" si="1"/>
        <v/>
      </c>
      <c r="J61" s="42"/>
      <c r="K61" s="43"/>
      <c r="L61" s="42"/>
      <c r="M61" s="30"/>
      <c r="N61" s="30"/>
      <c r="O61" s="43"/>
      <c r="P61" s="30"/>
      <c r="Q61" s="30"/>
      <c r="R61" s="30"/>
      <c r="S61" s="30"/>
      <c r="T61" s="30"/>
      <c r="U61" s="30"/>
      <c r="V61" s="30"/>
      <c r="W61" s="34"/>
      <c r="X61" s="34"/>
      <c r="Y61" s="44" t="str">
        <f>IF($A61="","",IF(AND($J61&gt;=Rubric!$B$5,$K61&gt;=Rubric!$B$6,$L61&gt;=Rubric!$B$7,$S61=Rubric!$B$8,OR($N61="Shopee Mall",$N61="Preferred Plus",$N61="Preferred")),"PASS","FAIL"))</f>
        <v/>
      </c>
      <c r="Z61" s="45" t="str">
        <f t="array" ref="Z61">IF($A61="","",IFERROR(INDEX(Rubric!$C$26:$C$30,MATCH($J61,Rubric!$B$26:$B$30,1)),0))</f>
        <v/>
      </c>
      <c r="AA61" s="45" t="str">
        <f t="array" ref="AA61">IF($A61="","",IFERROR(INDEX(Rubric!$C$34:$C$37,MATCH($K61,Rubric!$B$34:$B$37,1)),0))</f>
        <v/>
      </c>
      <c r="AB61" s="45" t="str">
        <f t="array" ref="AB61">IF($A61="","",IFERROR(INDEX(Rubric!$C$41:$C$45,MATCH($L61,Rubric!$B$41:$B$45,1)),0))</f>
        <v/>
      </c>
      <c r="AC61" s="45" t="str">
        <f t="array" ref="AC61">IF($A61="","",IFERROR(INDEX(Rubric!$C$49:$C$52,MATCH($N61,Rubric!$B$49:$B$52,0)),0))</f>
        <v/>
      </c>
      <c r="AD61" s="45" t="str">
        <f t="array" ref="AD61">IF($A61="","",IFERROR(INDEX(Rubric!$C$56:$C$59,MATCH($O61,Rubric!$B$56:$B$59,1)),0))</f>
        <v/>
      </c>
      <c r="AE61" s="45" t="str">
        <f t="array" ref="AE61">IF($A61="","",IFERROR(INDEX(Rubric!$C$63:$C$67,MATCH($I61,Rubric!$B$63:$B$67,1)),0))</f>
        <v/>
      </c>
      <c r="AF61" s="45" t="str">
        <f>IF($A61="","",IF($P61="Yes",Rubric!$C$71,0)+IF($R61="Yes",Rubric!$C$72,0)+IF($Q61="Buy 1 Take 1 or better",Rubric!$C$73,0))</f>
        <v/>
      </c>
      <c r="AG61" s="45" t="str">
        <f>IF($A61="","",IFERROR($V61*Rubric!$C$77,0))</f>
        <v/>
      </c>
      <c r="AH61" s="45" t="str">
        <f>IF($A61="","",IF($T61="Yes",Rubric!$C$81,0)+IF($U61="Yes",Rubric!$C$82,0))</f>
        <v/>
      </c>
      <c r="AI61" s="46" t="str">
        <f t="shared" si="2"/>
        <v/>
      </c>
      <c r="AJ61" s="44" t="str">
        <f t="array" ref="AJ61">IF($A61="","",IF($Y61="FAIL","Rejected — failed gate",IFERROR(INDEX(Rubric!$C$86:$C$89,MATCH($AI61,Rubric!$B$86:$B$89,1)),"")))</f>
        <v/>
      </c>
      <c r="AK61" s="47" t="str">
        <f t="shared" si="3"/>
        <v/>
      </c>
    </row>
    <row r="62" ht="15.75" customHeight="1">
      <c r="A62" s="30"/>
      <c r="B62" s="30"/>
      <c r="C62" s="30"/>
      <c r="D62" s="30"/>
      <c r="E62" s="30"/>
      <c r="F62" s="30"/>
      <c r="G62" s="40"/>
      <c r="H62" s="40"/>
      <c r="I62" s="41" t="str">
        <f t="shared" si="1"/>
        <v/>
      </c>
      <c r="J62" s="42"/>
      <c r="K62" s="43"/>
      <c r="L62" s="42"/>
      <c r="M62" s="30"/>
      <c r="N62" s="30"/>
      <c r="O62" s="43"/>
      <c r="P62" s="30"/>
      <c r="Q62" s="30"/>
      <c r="R62" s="30"/>
      <c r="S62" s="30"/>
      <c r="T62" s="30"/>
      <c r="U62" s="30"/>
      <c r="V62" s="30"/>
      <c r="W62" s="34"/>
      <c r="X62" s="34"/>
      <c r="Y62" s="44" t="str">
        <f>IF($A62="","",IF(AND($J62&gt;=Rubric!$B$5,$K62&gt;=Rubric!$B$6,$L62&gt;=Rubric!$B$7,$S62=Rubric!$B$8,OR($N62="Shopee Mall",$N62="Preferred Plus",$N62="Preferred")),"PASS","FAIL"))</f>
        <v/>
      </c>
      <c r="Z62" s="45" t="str">
        <f t="array" ref="Z62">IF($A62="","",IFERROR(INDEX(Rubric!$C$26:$C$30,MATCH($J62,Rubric!$B$26:$B$30,1)),0))</f>
        <v/>
      </c>
      <c r="AA62" s="45" t="str">
        <f t="array" ref="AA62">IF($A62="","",IFERROR(INDEX(Rubric!$C$34:$C$37,MATCH($K62,Rubric!$B$34:$B$37,1)),0))</f>
        <v/>
      </c>
      <c r="AB62" s="45" t="str">
        <f t="array" ref="AB62">IF($A62="","",IFERROR(INDEX(Rubric!$C$41:$C$45,MATCH($L62,Rubric!$B$41:$B$45,1)),0))</f>
        <v/>
      </c>
      <c r="AC62" s="45" t="str">
        <f t="array" ref="AC62">IF($A62="","",IFERROR(INDEX(Rubric!$C$49:$C$52,MATCH($N62,Rubric!$B$49:$B$52,0)),0))</f>
        <v/>
      </c>
      <c r="AD62" s="45" t="str">
        <f t="array" ref="AD62">IF($A62="","",IFERROR(INDEX(Rubric!$C$56:$C$59,MATCH($O62,Rubric!$B$56:$B$59,1)),0))</f>
        <v/>
      </c>
      <c r="AE62" s="45" t="str">
        <f t="array" ref="AE62">IF($A62="","",IFERROR(INDEX(Rubric!$C$63:$C$67,MATCH($I62,Rubric!$B$63:$B$67,1)),0))</f>
        <v/>
      </c>
      <c r="AF62" s="45" t="str">
        <f>IF($A62="","",IF($P62="Yes",Rubric!$C$71,0)+IF($R62="Yes",Rubric!$C$72,0)+IF($Q62="Buy 1 Take 1 or better",Rubric!$C$73,0))</f>
        <v/>
      </c>
      <c r="AG62" s="45" t="str">
        <f>IF($A62="","",IFERROR($V62*Rubric!$C$77,0))</f>
        <v/>
      </c>
      <c r="AH62" s="45" t="str">
        <f>IF($A62="","",IF($T62="Yes",Rubric!$C$81,0)+IF($U62="Yes",Rubric!$C$82,0))</f>
        <v/>
      </c>
      <c r="AI62" s="46" t="str">
        <f t="shared" si="2"/>
        <v/>
      </c>
      <c r="AJ62" s="44" t="str">
        <f t="array" ref="AJ62">IF($A62="","",IF($Y62="FAIL","Rejected — failed gate",IFERROR(INDEX(Rubric!$C$86:$C$89,MATCH($AI62,Rubric!$B$86:$B$89,1)),"")))</f>
        <v/>
      </c>
      <c r="AK62" s="47" t="str">
        <f t="shared" si="3"/>
        <v/>
      </c>
    </row>
    <row r="63" ht="15.75" customHeight="1">
      <c r="A63" s="30"/>
      <c r="B63" s="30"/>
      <c r="C63" s="30"/>
      <c r="D63" s="30"/>
      <c r="E63" s="30"/>
      <c r="F63" s="30"/>
      <c r="G63" s="40"/>
      <c r="H63" s="40"/>
      <c r="I63" s="41" t="str">
        <f t="shared" si="1"/>
        <v/>
      </c>
      <c r="J63" s="42"/>
      <c r="K63" s="43"/>
      <c r="L63" s="42"/>
      <c r="M63" s="30"/>
      <c r="N63" s="30"/>
      <c r="O63" s="43"/>
      <c r="P63" s="30"/>
      <c r="Q63" s="30"/>
      <c r="R63" s="30"/>
      <c r="S63" s="30"/>
      <c r="T63" s="30"/>
      <c r="U63" s="30"/>
      <c r="V63" s="30"/>
      <c r="W63" s="34"/>
      <c r="X63" s="34"/>
      <c r="Y63" s="44" t="str">
        <f>IF($A63="","",IF(AND($J63&gt;=Rubric!$B$5,$K63&gt;=Rubric!$B$6,$L63&gt;=Rubric!$B$7,$S63=Rubric!$B$8,OR($N63="Shopee Mall",$N63="Preferred Plus",$N63="Preferred")),"PASS","FAIL"))</f>
        <v/>
      </c>
      <c r="Z63" s="45" t="str">
        <f t="array" ref="Z63">IF($A63="","",IFERROR(INDEX(Rubric!$C$26:$C$30,MATCH($J63,Rubric!$B$26:$B$30,1)),0))</f>
        <v/>
      </c>
      <c r="AA63" s="45" t="str">
        <f t="array" ref="AA63">IF($A63="","",IFERROR(INDEX(Rubric!$C$34:$C$37,MATCH($K63,Rubric!$B$34:$B$37,1)),0))</f>
        <v/>
      </c>
      <c r="AB63" s="45" t="str">
        <f t="array" ref="AB63">IF($A63="","",IFERROR(INDEX(Rubric!$C$41:$C$45,MATCH($L63,Rubric!$B$41:$B$45,1)),0))</f>
        <v/>
      </c>
      <c r="AC63" s="45" t="str">
        <f t="array" ref="AC63">IF($A63="","",IFERROR(INDEX(Rubric!$C$49:$C$52,MATCH($N63,Rubric!$B$49:$B$52,0)),0))</f>
        <v/>
      </c>
      <c r="AD63" s="45" t="str">
        <f t="array" ref="AD63">IF($A63="","",IFERROR(INDEX(Rubric!$C$56:$C$59,MATCH($O63,Rubric!$B$56:$B$59,1)),0))</f>
        <v/>
      </c>
      <c r="AE63" s="45" t="str">
        <f t="array" ref="AE63">IF($A63="","",IFERROR(INDEX(Rubric!$C$63:$C$67,MATCH($I63,Rubric!$B$63:$B$67,1)),0))</f>
        <v/>
      </c>
      <c r="AF63" s="45" t="str">
        <f>IF($A63="","",IF($P63="Yes",Rubric!$C$71,0)+IF($R63="Yes",Rubric!$C$72,0)+IF($Q63="Buy 1 Take 1 or better",Rubric!$C$73,0))</f>
        <v/>
      </c>
      <c r="AG63" s="45" t="str">
        <f>IF($A63="","",IFERROR($V63*Rubric!$C$77,0))</f>
        <v/>
      </c>
      <c r="AH63" s="45" t="str">
        <f>IF($A63="","",IF($T63="Yes",Rubric!$C$81,0)+IF($U63="Yes",Rubric!$C$82,0))</f>
        <v/>
      </c>
      <c r="AI63" s="46" t="str">
        <f t="shared" si="2"/>
        <v/>
      </c>
      <c r="AJ63" s="44" t="str">
        <f t="array" ref="AJ63">IF($A63="","",IF($Y63="FAIL","Rejected — failed gate",IFERROR(INDEX(Rubric!$C$86:$C$89,MATCH($AI63,Rubric!$B$86:$B$89,1)),"")))</f>
        <v/>
      </c>
      <c r="AK63" s="47" t="str">
        <f t="shared" si="3"/>
        <v/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K$63"/>
  <mergeCells count="3">
    <mergeCell ref="A1:AK1"/>
    <mergeCell ref="A2:X2"/>
    <mergeCell ref="Y2:AK2"/>
  </mergeCells>
  <dataValidations>
    <dataValidation type="list" allowBlank="1" sqref="V4:V63">
      <formula1>"1,2,3,4,5"</formula1>
    </dataValidation>
    <dataValidation type="list" allowBlank="1" sqref="D4:D63">
      <formula1>"Electronics,Home &amp; Living,Health &amp; Beauty,Fashion,Baby Products,Pet Supplies,Automotive"</formula1>
    </dataValidation>
    <dataValidation type="list" allowBlank="1" sqref="N4:N63">
      <formula1>"Shopee Mall,Preferred Plus,Preferred,Normal Seller"</formula1>
    </dataValidation>
    <dataValidation type="list" allowBlank="1" sqref="P4:P63 R4:U63">
      <formula1>"Yes,No"</formula1>
    </dataValidation>
    <dataValidation type="list" allowBlank="1" sqref="Q4:Q63">
      <formula1>"None,Discount only,Buy 1 Take 1 or better"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2.0"/>
    <col customWidth="1" min="2" max="2" width="34.0"/>
    <col customWidth="1" min="3" max="3" width="8.0"/>
    <col customWidth="1" min="4" max="4" width="12.0"/>
    <col customWidth="1" min="5" max="5" width="52.0"/>
    <col customWidth="1" min="6" max="10" width="24.0"/>
    <col customWidth="1" min="11" max="11" width="20.0"/>
    <col customWidth="1" min="12" max="13" width="30.0"/>
    <col customWidth="1" min="14" max="14" width="14.0"/>
    <col customWidth="1" min="15" max="26" width="8.71"/>
  </cols>
  <sheetData>
    <row r="1" ht="24.0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10</v>
      </c>
    </row>
    <row r="3" ht="31.5" customHeight="1">
      <c r="A3" s="8" t="s">
        <v>18</v>
      </c>
      <c r="B3" s="8" t="s">
        <v>21</v>
      </c>
      <c r="C3" s="8" t="s">
        <v>25</v>
      </c>
      <c r="D3" s="8" t="s">
        <v>27</v>
      </c>
      <c r="E3" s="8" t="s">
        <v>28</v>
      </c>
      <c r="F3" s="8" t="s">
        <v>33</v>
      </c>
      <c r="G3" s="8" t="s">
        <v>38</v>
      </c>
      <c r="H3" s="8" t="s">
        <v>42</v>
      </c>
      <c r="I3" s="8" t="s">
        <v>45</v>
      </c>
      <c r="J3" s="8" t="s">
        <v>49</v>
      </c>
      <c r="K3" s="8" t="s">
        <v>54</v>
      </c>
      <c r="L3" s="8" t="s">
        <v>58</v>
      </c>
      <c r="M3" s="8" t="s">
        <v>61</v>
      </c>
      <c r="N3" s="8" t="s">
        <v>67</v>
      </c>
    </row>
    <row r="4">
      <c r="A4" s="15" t="str">
        <f>IF(Tracker!$A4="","",Tracker!$A4)</f>
        <v>[EXAMPLE — delete this row] 20W USB-C Fast Charger</v>
      </c>
      <c r="B4" s="16" t="s">
        <v>105</v>
      </c>
      <c r="C4" s="19">
        <f t="shared" ref="C4:C63" si="1">IF($B4="","",LEN($B4))</f>
        <v>41</v>
      </c>
      <c r="D4" s="23" t="str">
        <f t="shared" ref="D4:D63" si="2">IF($B4="","",IF(LEN($B4)&lt;=60,"OK","OVER LIMIT"))</f>
        <v>OK</v>
      </c>
      <c r="E4" s="26" t="s">
        <v>120</v>
      </c>
      <c r="F4" s="16" t="s">
        <v>121</v>
      </c>
      <c r="G4" s="16" t="s">
        <v>124</v>
      </c>
      <c r="H4" s="16" t="s">
        <v>125</v>
      </c>
      <c r="I4" s="16" t="s">
        <v>127</v>
      </c>
      <c r="J4" s="16" t="s">
        <v>128</v>
      </c>
      <c r="K4" s="16" t="s">
        <v>130</v>
      </c>
      <c r="L4" s="16" t="s">
        <v>131</v>
      </c>
      <c r="M4" s="16" t="s">
        <v>132</v>
      </c>
      <c r="N4" s="16" t="s">
        <v>134</v>
      </c>
    </row>
    <row r="5">
      <c r="A5" s="29" t="str">
        <f>IF(Tracker!$A5="","",Tracker!$A5)</f>
        <v/>
      </c>
      <c r="B5" s="30"/>
      <c r="C5" s="31" t="str">
        <f t="shared" si="1"/>
        <v/>
      </c>
      <c r="D5" s="32" t="str">
        <f t="shared" si="2"/>
        <v/>
      </c>
      <c r="E5" s="34"/>
      <c r="F5" s="30"/>
      <c r="G5" s="30"/>
      <c r="H5" s="30"/>
      <c r="I5" s="30"/>
      <c r="J5" s="30"/>
      <c r="K5" s="30"/>
      <c r="L5" s="30"/>
      <c r="M5" s="30"/>
      <c r="N5" s="30"/>
    </row>
    <row r="6">
      <c r="A6" s="29" t="str">
        <f>IF(Tracker!$A6="","",Tracker!$A6)</f>
        <v/>
      </c>
      <c r="B6" s="30"/>
      <c r="C6" s="31" t="str">
        <f t="shared" si="1"/>
        <v/>
      </c>
      <c r="D6" s="32" t="str">
        <f t="shared" si="2"/>
        <v/>
      </c>
      <c r="E6" s="34"/>
      <c r="F6" s="30"/>
      <c r="G6" s="30"/>
      <c r="H6" s="30"/>
      <c r="I6" s="30"/>
      <c r="J6" s="30"/>
      <c r="K6" s="30"/>
      <c r="L6" s="30"/>
      <c r="M6" s="30"/>
      <c r="N6" s="30"/>
    </row>
    <row r="7">
      <c r="A7" s="29" t="str">
        <f>IF(Tracker!$A7="","",Tracker!$A7)</f>
        <v/>
      </c>
      <c r="B7" s="30"/>
      <c r="C7" s="31" t="str">
        <f t="shared" si="1"/>
        <v/>
      </c>
      <c r="D7" s="32" t="str">
        <f t="shared" si="2"/>
        <v/>
      </c>
      <c r="E7" s="34"/>
      <c r="F7" s="30"/>
      <c r="G7" s="30"/>
      <c r="H7" s="30"/>
      <c r="I7" s="30"/>
      <c r="J7" s="30"/>
      <c r="K7" s="30"/>
      <c r="L7" s="30"/>
      <c r="M7" s="30"/>
      <c r="N7" s="30"/>
    </row>
    <row r="8">
      <c r="A8" s="29" t="str">
        <f>IF(Tracker!$A8="","",Tracker!$A8)</f>
        <v/>
      </c>
      <c r="B8" s="30"/>
      <c r="C8" s="31" t="str">
        <f t="shared" si="1"/>
        <v/>
      </c>
      <c r="D8" s="32" t="str">
        <f t="shared" si="2"/>
        <v/>
      </c>
      <c r="E8" s="34"/>
      <c r="F8" s="30"/>
      <c r="G8" s="30"/>
      <c r="H8" s="30"/>
      <c r="I8" s="30"/>
      <c r="J8" s="30"/>
      <c r="K8" s="30"/>
      <c r="L8" s="30"/>
      <c r="M8" s="30"/>
      <c r="N8" s="30"/>
    </row>
    <row r="9">
      <c r="A9" s="29" t="str">
        <f>IF(Tracker!$A9="","",Tracker!$A9)</f>
        <v/>
      </c>
      <c r="B9" s="30"/>
      <c r="C9" s="31" t="str">
        <f t="shared" si="1"/>
        <v/>
      </c>
      <c r="D9" s="32" t="str">
        <f t="shared" si="2"/>
        <v/>
      </c>
      <c r="E9" s="34"/>
      <c r="F9" s="30"/>
      <c r="G9" s="30"/>
      <c r="H9" s="30"/>
      <c r="I9" s="30"/>
      <c r="J9" s="30"/>
      <c r="K9" s="30"/>
      <c r="L9" s="30"/>
      <c r="M9" s="30"/>
      <c r="N9" s="30"/>
    </row>
    <row r="10">
      <c r="A10" s="29" t="str">
        <f>IF(Tracker!$A10="","",Tracker!$A10)</f>
        <v/>
      </c>
      <c r="B10" s="30"/>
      <c r="C10" s="31" t="str">
        <f t="shared" si="1"/>
        <v/>
      </c>
      <c r="D10" s="32" t="str">
        <f t="shared" si="2"/>
        <v/>
      </c>
      <c r="E10" s="34"/>
      <c r="F10" s="30"/>
      <c r="G10" s="30"/>
      <c r="H10" s="30"/>
      <c r="I10" s="30"/>
      <c r="J10" s="30"/>
      <c r="K10" s="30"/>
      <c r="L10" s="30"/>
      <c r="M10" s="30"/>
      <c r="N10" s="30"/>
    </row>
    <row r="11">
      <c r="A11" s="29" t="str">
        <f>IF(Tracker!$A11="","",Tracker!$A11)</f>
        <v/>
      </c>
      <c r="B11" s="30"/>
      <c r="C11" s="31" t="str">
        <f t="shared" si="1"/>
        <v/>
      </c>
      <c r="D11" s="32" t="str">
        <f t="shared" si="2"/>
        <v/>
      </c>
      <c r="E11" s="34"/>
      <c r="F11" s="30"/>
      <c r="G11" s="30"/>
      <c r="H11" s="30"/>
      <c r="I11" s="30"/>
      <c r="J11" s="30"/>
      <c r="K11" s="30"/>
      <c r="L11" s="30"/>
      <c r="M11" s="30"/>
      <c r="N11" s="30"/>
    </row>
    <row r="12">
      <c r="A12" s="29" t="str">
        <f>IF(Tracker!$A12="","",Tracker!$A12)</f>
        <v/>
      </c>
      <c r="B12" s="30"/>
      <c r="C12" s="31" t="str">
        <f t="shared" si="1"/>
        <v/>
      </c>
      <c r="D12" s="32" t="str">
        <f t="shared" si="2"/>
        <v/>
      </c>
      <c r="E12" s="34"/>
      <c r="F12" s="30"/>
      <c r="G12" s="30"/>
      <c r="H12" s="30"/>
      <c r="I12" s="30"/>
      <c r="J12" s="30"/>
      <c r="K12" s="30"/>
      <c r="L12" s="30"/>
      <c r="M12" s="30"/>
      <c r="N12" s="30"/>
    </row>
    <row r="13">
      <c r="A13" s="29" t="str">
        <f>IF(Tracker!$A13="","",Tracker!$A13)</f>
        <v/>
      </c>
      <c r="B13" s="30"/>
      <c r="C13" s="31" t="str">
        <f t="shared" si="1"/>
        <v/>
      </c>
      <c r="D13" s="32" t="str">
        <f t="shared" si="2"/>
        <v/>
      </c>
      <c r="E13" s="34"/>
      <c r="F13" s="30"/>
      <c r="G13" s="30"/>
      <c r="H13" s="30"/>
      <c r="I13" s="30"/>
      <c r="J13" s="30"/>
      <c r="K13" s="30"/>
      <c r="L13" s="30"/>
      <c r="M13" s="30"/>
      <c r="N13" s="30"/>
    </row>
    <row r="14">
      <c r="A14" s="29" t="str">
        <f>IF(Tracker!$A14="","",Tracker!$A14)</f>
        <v/>
      </c>
      <c r="B14" s="30"/>
      <c r="C14" s="31" t="str">
        <f t="shared" si="1"/>
        <v/>
      </c>
      <c r="D14" s="32" t="str">
        <f t="shared" si="2"/>
        <v/>
      </c>
      <c r="E14" s="34"/>
      <c r="F14" s="30"/>
      <c r="G14" s="30"/>
      <c r="H14" s="30"/>
      <c r="I14" s="30"/>
      <c r="J14" s="30"/>
      <c r="K14" s="30"/>
      <c r="L14" s="30"/>
      <c r="M14" s="30"/>
      <c r="N14" s="30"/>
    </row>
    <row r="15">
      <c r="A15" s="29" t="str">
        <f>IF(Tracker!$A15="","",Tracker!$A15)</f>
        <v/>
      </c>
      <c r="B15" s="30"/>
      <c r="C15" s="31" t="str">
        <f t="shared" si="1"/>
        <v/>
      </c>
      <c r="D15" s="32" t="str">
        <f t="shared" si="2"/>
        <v/>
      </c>
      <c r="E15" s="34"/>
      <c r="F15" s="30"/>
      <c r="G15" s="30"/>
      <c r="H15" s="30"/>
      <c r="I15" s="30"/>
      <c r="J15" s="30"/>
      <c r="K15" s="30"/>
      <c r="L15" s="30"/>
      <c r="M15" s="30"/>
      <c r="N15" s="30"/>
    </row>
    <row r="16">
      <c r="A16" s="29" t="str">
        <f>IF(Tracker!$A16="","",Tracker!$A16)</f>
        <v/>
      </c>
      <c r="B16" s="30"/>
      <c r="C16" s="31" t="str">
        <f t="shared" si="1"/>
        <v/>
      </c>
      <c r="D16" s="32" t="str">
        <f t="shared" si="2"/>
        <v/>
      </c>
      <c r="E16" s="34"/>
      <c r="F16" s="30"/>
      <c r="G16" s="30"/>
      <c r="H16" s="30"/>
      <c r="I16" s="30"/>
      <c r="J16" s="30"/>
      <c r="K16" s="30"/>
      <c r="L16" s="30"/>
      <c r="M16" s="30"/>
      <c r="N16" s="30"/>
    </row>
    <row r="17">
      <c r="A17" s="29" t="str">
        <f>IF(Tracker!$A17="","",Tracker!$A17)</f>
        <v/>
      </c>
      <c r="B17" s="30"/>
      <c r="C17" s="31" t="str">
        <f t="shared" si="1"/>
        <v/>
      </c>
      <c r="D17" s="32" t="str">
        <f t="shared" si="2"/>
        <v/>
      </c>
      <c r="E17" s="34"/>
      <c r="F17" s="30"/>
      <c r="G17" s="30"/>
      <c r="H17" s="30"/>
      <c r="I17" s="30"/>
      <c r="J17" s="30"/>
      <c r="K17" s="30"/>
      <c r="L17" s="30"/>
      <c r="M17" s="30"/>
      <c r="N17" s="30"/>
    </row>
    <row r="18">
      <c r="A18" s="29" t="str">
        <f>IF(Tracker!$A18="","",Tracker!$A18)</f>
        <v/>
      </c>
      <c r="B18" s="30"/>
      <c r="C18" s="31" t="str">
        <f t="shared" si="1"/>
        <v/>
      </c>
      <c r="D18" s="32" t="str">
        <f t="shared" si="2"/>
        <v/>
      </c>
      <c r="E18" s="34"/>
      <c r="F18" s="30"/>
      <c r="G18" s="30"/>
      <c r="H18" s="30"/>
      <c r="I18" s="30"/>
      <c r="J18" s="30"/>
      <c r="K18" s="30"/>
      <c r="L18" s="30"/>
      <c r="M18" s="30"/>
      <c r="N18" s="30"/>
    </row>
    <row r="19">
      <c r="A19" s="29" t="str">
        <f>IF(Tracker!$A19="","",Tracker!$A19)</f>
        <v/>
      </c>
      <c r="B19" s="30"/>
      <c r="C19" s="31" t="str">
        <f t="shared" si="1"/>
        <v/>
      </c>
      <c r="D19" s="32" t="str">
        <f t="shared" si="2"/>
        <v/>
      </c>
      <c r="E19" s="34"/>
      <c r="F19" s="30"/>
      <c r="G19" s="30"/>
      <c r="H19" s="30"/>
      <c r="I19" s="30"/>
      <c r="J19" s="30"/>
      <c r="K19" s="30"/>
      <c r="L19" s="30"/>
      <c r="M19" s="30"/>
      <c r="N19" s="30"/>
    </row>
    <row r="20">
      <c r="A20" s="29" t="str">
        <f>IF(Tracker!$A20="","",Tracker!$A20)</f>
        <v/>
      </c>
      <c r="B20" s="30"/>
      <c r="C20" s="31" t="str">
        <f t="shared" si="1"/>
        <v/>
      </c>
      <c r="D20" s="32" t="str">
        <f t="shared" si="2"/>
        <v/>
      </c>
      <c r="E20" s="34"/>
      <c r="F20" s="30"/>
      <c r="G20" s="30"/>
      <c r="H20" s="30"/>
      <c r="I20" s="30"/>
      <c r="J20" s="30"/>
      <c r="K20" s="30"/>
      <c r="L20" s="30"/>
      <c r="M20" s="30"/>
      <c r="N20" s="30"/>
    </row>
    <row r="21" ht="15.75" customHeight="1">
      <c r="A21" s="29" t="str">
        <f>IF(Tracker!$A21="","",Tracker!$A21)</f>
        <v/>
      </c>
      <c r="B21" s="30"/>
      <c r="C21" s="31" t="str">
        <f t="shared" si="1"/>
        <v/>
      </c>
      <c r="D21" s="32" t="str">
        <f t="shared" si="2"/>
        <v/>
      </c>
      <c r="E21" s="34"/>
      <c r="F21" s="30"/>
      <c r="G21" s="30"/>
      <c r="H21" s="30"/>
      <c r="I21" s="30"/>
      <c r="J21" s="30"/>
      <c r="K21" s="30"/>
      <c r="L21" s="30"/>
      <c r="M21" s="30"/>
      <c r="N21" s="30"/>
    </row>
    <row r="22" ht="15.75" customHeight="1">
      <c r="A22" s="29" t="str">
        <f>IF(Tracker!$A22="","",Tracker!$A22)</f>
        <v/>
      </c>
      <c r="B22" s="30"/>
      <c r="C22" s="31" t="str">
        <f t="shared" si="1"/>
        <v/>
      </c>
      <c r="D22" s="32" t="str">
        <f t="shared" si="2"/>
        <v/>
      </c>
      <c r="E22" s="34"/>
      <c r="F22" s="30"/>
      <c r="G22" s="30"/>
      <c r="H22" s="30"/>
      <c r="I22" s="30"/>
      <c r="J22" s="30"/>
      <c r="K22" s="30"/>
      <c r="L22" s="30"/>
      <c r="M22" s="30"/>
      <c r="N22" s="30"/>
    </row>
    <row r="23" ht="15.75" customHeight="1">
      <c r="A23" s="29" t="str">
        <f>IF(Tracker!$A23="","",Tracker!$A23)</f>
        <v/>
      </c>
      <c r="B23" s="30"/>
      <c r="C23" s="31" t="str">
        <f t="shared" si="1"/>
        <v/>
      </c>
      <c r="D23" s="32" t="str">
        <f t="shared" si="2"/>
        <v/>
      </c>
      <c r="E23" s="34"/>
      <c r="F23" s="30"/>
      <c r="G23" s="30"/>
      <c r="H23" s="30"/>
      <c r="I23" s="30"/>
      <c r="J23" s="30"/>
      <c r="K23" s="30"/>
      <c r="L23" s="30"/>
      <c r="M23" s="30"/>
      <c r="N23" s="30"/>
    </row>
    <row r="24" ht="15.75" customHeight="1">
      <c r="A24" s="29" t="str">
        <f>IF(Tracker!$A24="","",Tracker!$A24)</f>
        <v/>
      </c>
      <c r="B24" s="30"/>
      <c r="C24" s="31" t="str">
        <f t="shared" si="1"/>
        <v/>
      </c>
      <c r="D24" s="32" t="str">
        <f t="shared" si="2"/>
        <v/>
      </c>
      <c r="E24" s="34"/>
      <c r="F24" s="30"/>
      <c r="G24" s="30"/>
      <c r="H24" s="30"/>
      <c r="I24" s="30"/>
      <c r="J24" s="30"/>
      <c r="K24" s="30"/>
      <c r="L24" s="30"/>
      <c r="M24" s="30"/>
      <c r="N24" s="30"/>
    </row>
    <row r="25" ht="15.75" customHeight="1">
      <c r="A25" s="29" t="str">
        <f>IF(Tracker!$A25="","",Tracker!$A25)</f>
        <v/>
      </c>
      <c r="B25" s="30"/>
      <c r="C25" s="31" t="str">
        <f t="shared" si="1"/>
        <v/>
      </c>
      <c r="D25" s="32" t="str">
        <f t="shared" si="2"/>
        <v/>
      </c>
      <c r="E25" s="34"/>
      <c r="F25" s="30"/>
      <c r="G25" s="30"/>
      <c r="H25" s="30"/>
      <c r="I25" s="30"/>
      <c r="J25" s="30"/>
      <c r="K25" s="30"/>
      <c r="L25" s="30"/>
      <c r="M25" s="30"/>
      <c r="N25" s="30"/>
    </row>
    <row r="26" ht="15.75" customHeight="1">
      <c r="A26" s="29" t="str">
        <f>IF(Tracker!$A26="","",Tracker!$A26)</f>
        <v/>
      </c>
      <c r="B26" s="30"/>
      <c r="C26" s="31" t="str">
        <f t="shared" si="1"/>
        <v/>
      </c>
      <c r="D26" s="32" t="str">
        <f t="shared" si="2"/>
        <v/>
      </c>
      <c r="E26" s="34"/>
      <c r="F26" s="30"/>
      <c r="G26" s="30"/>
      <c r="H26" s="30"/>
      <c r="I26" s="30"/>
      <c r="J26" s="30"/>
      <c r="K26" s="30"/>
      <c r="L26" s="30"/>
      <c r="M26" s="30"/>
      <c r="N26" s="30"/>
    </row>
    <row r="27" ht="15.75" customHeight="1">
      <c r="A27" s="29" t="str">
        <f>IF(Tracker!$A27="","",Tracker!$A27)</f>
        <v/>
      </c>
      <c r="B27" s="30"/>
      <c r="C27" s="31" t="str">
        <f t="shared" si="1"/>
        <v/>
      </c>
      <c r="D27" s="32" t="str">
        <f t="shared" si="2"/>
        <v/>
      </c>
      <c r="E27" s="34"/>
      <c r="F27" s="30"/>
      <c r="G27" s="30"/>
      <c r="H27" s="30"/>
      <c r="I27" s="30"/>
      <c r="J27" s="30"/>
      <c r="K27" s="30"/>
      <c r="L27" s="30"/>
      <c r="M27" s="30"/>
      <c r="N27" s="30"/>
    </row>
    <row r="28" ht="15.75" customHeight="1">
      <c r="A28" s="29" t="str">
        <f>IF(Tracker!$A28="","",Tracker!$A28)</f>
        <v/>
      </c>
      <c r="B28" s="30"/>
      <c r="C28" s="31" t="str">
        <f t="shared" si="1"/>
        <v/>
      </c>
      <c r="D28" s="32" t="str">
        <f t="shared" si="2"/>
        <v/>
      </c>
      <c r="E28" s="34"/>
      <c r="F28" s="30"/>
      <c r="G28" s="30"/>
      <c r="H28" s="30"/>
      <c r="I28" s="30"/>
      <c r="J28" s="30"/>
      <c r="K28" s="30"/>
      <c r="L28" s="30"/>
      <c r="M28" s="30"/>
      <c r="N28" s="30"/>
    </row>
    <row r="29" ht="15.75" customHeight="1">
      <c r="A29" s="29" t="str">
        <f>IF(Tracker!$A29="","",Tracker!$A29)</f>
        <v/>
      </c>
      <c r="B29" s="30"/>
      <c r="C29" s="31" t="str">
        <f t="shared" si="1"/>
        <v/>
      </c>
      <c r="D29" s="32" t="str">
        <f t="shared" si="2"/>
        <v/>
      </c>
      <c r="E29" s="34"/>
      <c r="F29" s="30"/>
      <c r="G29" s="30"/>
      <c r="H29" s="30"/>
      <c r="I29" s="30"/>
      <c r="J29" s="30"/>
      <c r="K29" s="30"/>
      <c r="L29" s="30"/>
      <c r="M29" s="30"/>
      <c r="N29" s="30"/>
    </row>
    <row r="30" ht="15.75" customHeight="1">
      <c r="A30" s="29" t="str">
        <f>IF(Tracker!$A30="","",Tracker!$A30)</f>
        <v/>
      </c>
      <c r="B30" s="30"/>
      <c r="C30" s="31" t="str">
        <f t="shared" si="1"/>
        <v/>
      </c>
      <c r="D30" s="32" t="str">
        <f t="shared" si="2"/>
        <v/>
      </c>
      <c r="E30" s="34"/>
      <c r="F30" s="30"/>
      <c r="G30" s="30"/>
      <c r="H30" s="30"/>
      <c r="I30" s="30"/>
      <c r="J30" s="30"/>
      <c r="K30" s="30"/>
      <c r="L30" s="30"/>
      <c r="M30" s="30"/>
      <c r="N30" s="30"/>
    </row>
    <row r="31" ht="15.75" customHeight="1">
      <c r="A31" s="29" t="str">
        <f>IF(Tracker!$A31="","",Tracker!$A31)</f>
        <v/>
      </c>
      <c r="B31" s="30"/>
      <c r="C31" s="31" t="str">
        <f t="shared" si="1"/>
        <v/>
      </c>
      <c r="D31" s="32" t="str">
        <f t="shared" si="2"/>
        <v/>
      </c>
      <c r="E31" s="34"/>
      <c r="F31" s="30"/>
      <c r="G31" s="30"/>
      <c r="H31" s="30"/>
      <c r="I31" s="30"/>
      <c r="J31" s="30"/>
      <c r="K31" s="30"/>
      <c r="L31" s="30"/>
      <c r="M31" s="30"/>
      <c r="N31" s="30"/>
    </row>
    <row r="32" ht="15.75" customHeight="1">
      <c r="A32" s="29" t="str">
        <f>IF(Tracker!$A32="","",Tracker!$A32)</f>
        <v/>
      </c>
      <c r="B32" s="30"/>
      <c r="C32" s="31" t="str">
        <f t="shared" si="1"/>
        <v/>
      </c>
      <c r="D32" s="32" t="str">
        <f t="shared" si="2"/>
        <v/>
      </c>
      <c r="E32" s="34"/>
      <c r="F32" s="30"/>
      <c r="G32" s="30"/>
      <c r="H32" s="30"/>
      <c r="I32" s="30"/>
      <c r="J32" s="30"/>
      <c r="K32" s="30"/>
      <c r="L32" s="30"/>
      <c r="M32" s="30"/>
      <c r="N32" s="30"/>
    </row>
    <row r="33" ht="15.75" customHeight="1">
      <c r="A33" s="29" t="str">
        <f>IF(Tracker!$A33="","",Tracker!$A33)</f>
        <v/>
      </c>
      <c r="B33" s="30"/>
      <c r="C33" s="31" t="str">
        <f t="shared" si="1"/>
        <v/>
      </c>
      <c r="D33" s="32" t="str">
        <f t="shared" si="2"/>
        <v/>
      </c>
      <c r="E33" s="34"/>
      <c r="F33" s="30"/>
      <c r="G33" s="30"/>
      <c r="H33" s="30"/>
      <c r="I33" s="30"/>
      <c r="J33" s="30"/>
      <c r="K33" s="30"/>
      <c r="L33" s="30"/>
      <c r="M33" s="30"/>
      <c r="N33" s="30"/>
    </row>
    <row r="34" ht="15.75" customHeight="1">
      <c r="A34" s="29" t="str">
        <f>IF(Tracker!$A34="","",Tracker!$A34)</f>
        <v/>
      </c>
      <c r="B34" s="30"/>
      <c r="C34" s="31" t="str">
        <f t="shared" si="1"/>
        <v/>
      </c>
      <c r="D34" s="32" t="str">
        <f t="shared" si="2"/>
        <v/>
      </c>
      <c r="E34" s="34"/>
      <c r="F34" s="30"/>
      <c r="G34" s="30"/>
      <c r="H34" s="30"/>
      <c r="I34" s="30"/>
      <c r="J34" s="30"/>
      <c r="K34" s="30"/>
      <c r="L34" s="30"/>
      <c r="M34" s="30"/>
      <c r="N34" s="30"/>
    </row>
    <row r="35" ht="15.75" customHeight="1">
      <c r="A35" s="29" t="str">
        <f>IF(Tracker!$A35="","",Tracker!$A35)</f>
        <v/>
      </c>
      <c r="B35" s="30"/>
      <c r="C35" s="31" t="str">
        <f t="shared" si="1"/>
        <v/>
      </c>
      <c r="D35" s="32" t="str">
        <f t="shared" si="2"/>
        <v/>
      </c>
      <c r="E35" s="34"/>
      <c r="F35" s="30"/>
      <c r="G35" s="30"/>
      <c r="H35" s="30"/>
      <c r="I35" s="30"/>
      <c r="J35" s="30"/>
      <c r="K35" s="30"/>
      <c r="L35" s="30"/>
      <c r="M35" s="30"/>
      <c r="N35" s="30"/>
    </row>
    <row r="36" ht="15.75" customHeight="1">
      <c r="A36" s="29" t="str">
        <f>IF(Tracker!$A36="","",Tracker!$A36)</f>
        <v/>
      </c>
      <c r="B36" s="30"/>
      <c r="C36" s="31" t="str">
        <f t="shared" si="1"/>
        <v/>
      </c>
      <c r="D36" s="32" t="str">
        <f t="shared" si="2"/>
        <v/>
      </c>
      <c r="E36" s="34"/>
      <c r="F36" s="30"/>
      <c r="G36" s="30"/>
      <c r="H36" s="30"/>
      <c r="I36" s="30"/>
      <c r="J36" s="30"/>
      <c r="K36" s="30"/>
      <c r="L36" s="30"/>
      <c r="M36" s="30"/>
      <c r="N36" s="30"/>
    </row>
    <row r="37" ht="15.75" customHeight="1">
      <c r="A37" s="29" t="str">
        <f>IF(Tracker!$A37="","",Tracker!$A37)</f>
        <v/>
      </c>
      <c r="B37" s="30"/>
      <c r="C37" s="31" t="str">
        <f t="shared" si="1"/>
        <v/>
      </c>
      <c r="D37" s="32" t="str">
        <f t="shared" si="2"/>
        <v/>
      </c>
      <c r="E37" s="34"/>
      <c r="F37" s="30"/>
      <c r="G37" s="30"/>
      <c r="H37" s="30"/>
      <c r="I37" s="30"/>
      <c r="J37" s="30"/>
      <c r="K37" s="30"/>
      <c r="L37" s="30"/>
      <c r="M37" s="30"/>
      <c r="N37" s="30"/>
    </row>
    <row r="38" ht="15.75" customHeight="1">
      <c r="A38" s="29" t="str">
        <f>IF(Tracker!$A38="","",Tracker!$A38)</f>
        <v/>
      </c>
      <c r="B38" s="30"/>
      <c r="C38" s="31" t="str">
        <f t="shared" si="1"/>
        <v/>
      </c>
      <c r="D38" s="32" t="str">
        <f t="shared" si="2"/>
        <v/>
      </c>
      <c r="E38" s="34"/>
      <c r="F38" s="30"/>
      <c r="G38" s="30"/>
      <c r="H38" s="30"/>
      <c r="I38" s="30"/>
      <c r="J38" s="30"/>
      <c r="K38" s="30"/>
      <c r="L38" s="30"/>
      <c r="M38" s="30"/>
      <c r="N38" s="30"/>
    </row>
    <row r="39" ht="15.75" customHeight="1">
      <c r="A39" s="29" t="str">
        <f>IF(Tracker!$A39="","",Tracker!$A39)</f>
        <v/>
      </c>
      <c r="B39" s="30"/>
      <c r="C39" s="31" t="str">
        <f t="shared" si="1"/>
        <v/>
      </c>
      <c r="D39" s="32" t="str">
        <f t="shared" si="2"/>
        <v/>
      </c>
      <c r="E39" s="34"/>
      <c r="F39" s="30"/>
      <c r="G39" s="30"/>
      <c r="H39" s="30"/>
      <c r="I39" s="30"/>
      <c r="J39" s="30"/>
      <c r="K39" s="30"/>
      <c r="L39" s="30"/>
      <c r="M39" s="30"/>
      <c r="N39" s="30"/>
    </row>
    <row r="40" ht="15.75" customHeight="1">
      <c r="A40" s="29" t="str">
        <f>IF(Tracker!$A40="","",Tracker!$A40)</f>
        <v/>
      </c>
      <c r="B40" s="30"/>
      <c r="C40" s="31" t="str">
        <f t="shared" si="1"/>
        <v/>
      </c>
      <c r="D40" s="32" t="str">
        <f t="shared" si="2"/>
        <v/>
      </c>
      <c r="E40" s="34"/>
      <c r="F40" s="30"/>
      <c r="G40" s="30"/>
      <c r="H40" s="30"/>
      <c r="I40" s="30"/>
      <c r="J40" s="30"/>
      <c r="K40" s="30"/>
      <c r="L40" s="30"/>
      <c r="M40" s="30"/>
      <c r="N40" s="30"/>
    </row>
    <row r="41" ht="15.75" customHeight="1">
      <c r="A41" s="29" t="str">
        <f>IF(Tracker!$A41="","",Tracker!$A41)</f>
        <v/>
      </c>
      <c r="B41" s="30"/>
      <c r="C41" s="31" t="str">
        <f t="shared" si="1"/>
        <v/>
      </c>
      <c r="D41" s="32" t="str">
        <f t="shared" si="2"/>
        <v/>
      </c>
      <c r="E41" s="34"/>
      <c r="F41" s="30"/>
      <c r="G41" s="30"/>
      <c r="H41" s="30"/>
      <c r="I41" s="30"/>
      <c r="J41" s="30"/>
      <c r="K41" s="30"/>
      <c r="L41" s="30"/>
      <c r="M41" s="30"/>
      <c r="N41" s="30"/>
    </row>
    <row r="42" ht="15.75" customHeight="1">
      <c r="A42" s="29" t="str">
        <f>IF(Tracker!$A42="","",Tracker!$A42)</f>
        <v/>
      </c>
      <c r="B42" s="30"/>
      <c r="C42" s="31" t="str">
        <f t="shared" si="1"/>
        <v/>
      </c>
      <c r="D42" s="32" t="str">
        <f t="shared" si="2"/>
        <v/>
      </c>
      <c r="E42" s="34"/>
      <c r="F42" s="30"/>
      <c r="G42" s="30"/>
      <c r="H42" s="30"/>
      <c r="I42" s="30"/>
      <c r="J42" s="30"/>
      <c r="K42" s="30"/>
      <c r="L42" s="30"/>
      <c r="M42" s="30"/>
      <c r="N42" s="30"/>
    </row>
    <row r="43" ht="15.75" customHeight="1">
      <c r="A43" s="29" t="str">
        <f>IF(Tracker!$A43="","",Tracker!$A43)</f>
        <v/>
      </c>
      <c r="B43" s="30"/>
      <c r="C43" s="31" t="str">
        <f t="shared" si="1"/>
        <v/>
      </c>
      <c r="D43" s="32" t="str">
        <f t="shared" si="2"/>
        <v/>
      </c>
      <c r="E43" s="34"/>
      <c r="F43" s="30"/>
      <c r="G43" s="30"/>
      <c r="H43" s="30"/>
      <c r="I43" s="30"/>
      <c r="J43" s="30"/>
      <c r="K43" s="30"/>
      <c r="L43" s="30"/>
      <c r="M43" s="30"/>
      <c r="N43" s="30"/>
    </row>
    <row r="44" ht="15.75" customHeight="1">
      <c r="A44" s="29" t="str">
        <f>IF(Tracker!$A44="","",Tracker!$A44)</f>
        <v/>
      </c>
      <c r="B44" s="30"/>
      <c r="C44" s="31" t="str">
        <f t="shared" si="1"/>
        <v/>
      </c>
      <c r="D44" s="32" t="str">
        <f t="shared" si="2"/>
        <v/>
      </c>
      <c r="E44" s="34"/>
      <c r="F44" s="30"/>
      <c r="G44" s="30"/>
      <c r="H44" s="30"/>
      <c r="I44" s="30"/>
      <c r="J44" s="30"/>
      <c r="K44" s="30"/>
      <c r="L44" s="30"/>
      <c r="M44" s="30"/>
      <c r="N44" s="30"/>
    </row>
    <row r="45" ht="15.75" customHeight="1">
      <c r="A45" s="29" t="str">
        <f>IF(Tracker!$A45="","",Tracker!$A45)</f>
        <v/>
      </c>
      <c r="B45" s="30"/>
      <c r="C45" s="31" t="str">
        <f t="shared" si="1"/>
        <v/>
      </c>
      <c r="D45" s="32" t="str">
        <f t="shared" si="2"/>
        <v/>
      </c>
      <c r="E45" s="34"/>
      <c r="F45" s="30"/>
      <c r="G45" s="30"/>
      <c r="H45" s="30"/>
      <c r="I45" s="30"/>
      <c r="J45" s="30"/>
      <c r="K45" s="30"/>
      <c r="L45" s="30"/>
      <c r="M45" s="30"/>
      <c r="N45" s="30"/>
    </row>
    <row r="46" ht="15.75" customHeight="1">
      <c r="A46" s="29" t="str">
        <f>IF(Tracker!$A46="","",Tracker!$A46)</f>
        <v/>
      </c>
      <c r="B46" s="30"/>
      <c r="C46" s="31" t="str">
        <f t="shared" si="1"/>
        <v/>
      </c>
      <c r="D46" s="32" t="str">
        <f t="shared" si="2"/>
        <v/>
      </c>
      <c r="E46" s="34"/>
      <c r="F46" s="30"/>
      <c r="G46" s="30"/>
      <c r="H46" s="30"/>
      <c r="I46" s="30"/>
      <c r="J46" s="30"/>
      <c r="K46" s="30"/>
      <c r="L46" s="30"/>
      <c r="M46" s="30"/>
      <c r="N46" s="30"/>
    </row>
    <row r="47" ht="15.75" customHeight="1">
      <c r="A47" s="29" t="str">
        <f>IF(Tracker!$A47="","",Tracker!$A47)</f>
        <v/>
      </c>
      <c r="B47" s="30"/>
      <c r="C47" s="31" t="str">
        <f t="shared" si="1"/>
        <v/>
      </c>
      <c r="D47" s="32" t="str">
        <f t="shared" si="2"/>
        <v/>
      </c>
      <c r="E47" s="34"/>
      <c r="F47" s="30"/>
      <c r="G47" s="30"/>
      <c r="H47" s="30"/>
      <c r="I47" s="30"/>
      <c r="J47" s="30"/>
      <c r="K47" s="30"/>
      <c r="L47" s="30"/>
      <c r="M47" s="30"/>
      <c r="N47" s="30"/>
    </row>
    <row r="48" ht="15.75" customHeight="1">
      <c r="A48" s="29" t="str">
        <f>IF(Tracker!$A48="","",Tracker!$A48)</f>
        <v/>
      </c>
      <c r="B48" s="30"/>
      <c r="C48" s="31" t="str">
        <f t="shared" si="1"/>
        <v/>
      </c>
      <c r="D48" s="32" t="str">
        <f t="shared" si="2"/>
        <v/>
      </c>
      <c r="E48" s="34"/>
      <c r="F48" s="30"/>
      <c r="G48" s="30"/>
      <c r="H48" s="30"/>
      <c r="I48" s="30"/>
      <c r="J48" s="30"/>
      <c r="K48" s="30"/>
      <c r="L48" s="30"/>
      <c r="M48" s="30"/>
      <c r="N48" s="30"/>
    </row>
    <row r="49" ht="15.75" customHeight="1">
      <c r="A49" s="29" t="str">
        <f>IF(Tracker!$A49="","",Tracker!$A49)</f>
        <v/>
      </c>
      <c r="B49" s="30"/>
      <c r="C49" s="31" t="str">
        <f t="shared" si="1"/>
        <v/>
      </c>
      <c r="D49" s="32" t="str">
        <f t="shared" si="2"/>
        <v/>
      </c>
      <c r="E49" s="34"/>
      <c r="F49" s="30"/>
      <c r="G49" s="30"/>
      <c r="H49" s="30"/>
      <c r="I49" s="30"/>
      <c r="J49" s="30"/>
      <c r="K49" s="30"/>
      <c r="L49" s="30"/>
      <c r="M49" s="30"/>
      <c r="N49" s="30"/>
    </row>
    <row r="50" ht="15.75" customHeight="1">
      <c r="A50" s="29" t="str">
        <f>IF(Tracker!$A50="","",Tracker!$A50)</f>
        <v/>
      </c>
      <c r="B50" s="30"/>
      <c r="C50" s="31" t="str">
        <f t="shared" si="1"/>
        <v/>
      </c>
      <c r="D50" s="32" t="str">
        <f t="shared" si="2"/>
        <v/>
      </c>
      <c r="E50" s="34"/>
      <c r="F50" s="30"/>
      <c r="G50" s="30"/>
      <c r="H50" s="30"/>
      <c r="I50" s="30"/>
      <c r="J50" s="30"/>
      <c r="K50" s="30"/>
      <c r="L50" s="30"/>
      <c r="M50" s="30"/>
      <c r="N50" s="30"/>
    </row>
    <row r="51" ht="15.75" customHeight="1">
      <c r="A51" s="29" t="str">
        <f>IF(Tracker!$A51="","",Tracker!$A51)</f>
        <v/>
      </c>
      <c r="B51" s="30"/>
      <c r="C51" s="31" t="str">
        <f t="shared" si="1"/>
        <v/>
      </c>
      <c r="D51" s="32" t="str">
        <f t="shared" si="2"/>
        <v/>
      </c>
      <c r="E51" s="34"/>
      <c r="F51" s="30"/>
      <c r="G51" s="30"/>
      <c r="H51" s="30"/>
      <c r="I51" s="30"/>
      <c r="J51" s="30"/>
      <c r="K51" s="30"/>
      <c r="L51" s="30"/>
      <c r="M51" s="30"/>
      <c r="N51" s="30"/>
    </row>
    <row r="52" ht="15.75" customHeight="1">
      <c r="A52" s="29" t="str">
        <f>IF(Tracker!$A52="","",Tracker!$A52)</f>
        <v/>
      </c>
      <c r="B52" s="30"/>
      <c r="C52" s="31" t="str">
        <f t="shared" si="1"/>
        <v/>
      </c>
      <c r="D52" s="32" t="str">
        <f t="shared" si="2"/>
        <v/>
      </c>
      <c r="E52" s="34"/>
      <c r="F52" s="30"/>
      <c r="G52" s="30"/>
      <c r="H52" s="30"/>
      <c r="I52" s="30"/>
      <c r="J52" s="30"/>
      <c r="K52" s="30"/>
      <c r="L52" s="30"/>
      <c r="M52" s="30"/>
      <c r="N52" s="30"/>
    </row>
    <row r="53" ht="15.75" customHeight="1">
      <c r="A53" s="29" t="str">
        <f>IF(Tracker!$A53="","",Tracker!$A53)</f>
        <v/>
      </c>
      <c r="B53" s="30"/>
      <c r="C53" s="31" t="str">
        <f t="shared" si="1"/>
        <v/>
      </c>
      <c r="D53" s="32" t="str">
        <f t="shared" si="2"/>
        <v/>
      </c>
      <c r="E53" s="34"/>
      <c r="F53" s="30"/>
      <c r="G53" s="30"/>
      <c r="H53" s="30"/>
      <c r="I53" s="30"/>
      <c r="J53" s="30"/>
      <c r="K53" s="30"/>
      <c r="L53" s="30"/>
      <c r="M53" s="30"/>
      <c r="N53" s="30"/>
    </row>
    <row r="54" ht="15.75" customHeight="1">
      <c r="A54" s="29" t="str">
        <f>IF(Tracker!$A54="","",Tracker!$A54)</f>
        <v/>
      </c>
      <c r="B54" s="30"/>
      <c r="C54" s="31" t="str">
        <f t="shared" si="1"/>
        <v/>
      </c>
      <c r="D54" s="32" t="str">
        <f t="shared" si="2"/>
        <v/>
      </c>
      <c r="E54" s="34"/>
      <c r="F54" s="30"/>
      <c r="G54" s="30"/>
      <c r="H54" s="30"/>
      <c r="I54" s="30"/>
      <c r="J54" s="30"/>
      <c r="K54" s="30"/>
      <c r="L54" s="30"/>
      <c r="M54" s="30"/>
      <c r="N54" s="30"/>
    </row>
    <row r="55" ht="15.75" customHeight="1">
      <c r="A55" s="29" t="str">
        <f>IF(Tracker!$A55="","",Tracker!$A55)</f>
        <v/>
      </c>
      <c r="B55" s="30"/>
      <c r="C55" s="31" t="str">
        <f t="shared" si="1"/>
        <v/>
      </c>
      <c r="D55" s="32" t="str">
        <f t="shared" si="2"/>
        <v/>
      </c>
      <c r="E55" s="34"/>
      <c r="F55" s="30"/>
      <c r="G55" s="30"/>
      <c r="H55" s="30"/>
      <c r="I55" s="30"/>
      <c r="J55" s="30"/>
      <c r="K55" s="30"/>
      <c r="L55" s="30"/>
      <c r="M55" s="30"/>
      <c r="N55" s="30"/>
    </row>
    <row r="56" ht="15.75" customHeight="1">
      <c r="A56" s="29" t="str">
        <f>IF(Tracker!$A56="","",Tracker!$A56)</f>
        <v/>
      </c>
      <c r="B56" s="30"/>
      <c r="C56" s="31" t="str">
        <f t="shared" si="1"/>
        <v/>
      </c>
      <c r="D56" s="32" t="str">
        <f t="shared" si="2"/>
        <v/>
      </c>
      <c r="E56" s="34"/>
      <c r="F56" s="30"/>
      <c r="G56" s="30"/>
      <c r="H56" s="30"/>
      <c r="I56" s="30"/>
      <c r="J56" s="30"/>
      <c r="K56" s="30"/>
      <c r="L56" s="30"/>
      <c r="M56" s="30"/>
      <c r="N56" s="30"/>
    </row>
    <row r="57" ht="15.75" customHeight="1">
      <c r="A57" s="29" t="str">
        <f>IF(Tracker!$A57="","",Tracker!$A57)</f>
        <v/>
      </c>
      <c r="B57" s="30"/>
      <c r="C57" s="31" t="str">
        <f t="shared" si="1"/>
        <v/>
      </c>
      <c r="D57" s="32" t="str">
        <f t="shared" si="2"/>
        <v/>
      </c>
      <c r="E57" s="34"/>
      <c r="F57" s="30"/>
      <c r="G57" s="30"/>
      <c r="H57" s="30"/>
      <c r="I57" s="30"/>
      <c r="J57" s="30"/>
      <c r="K57" s="30"/>
      <c r="L57" s="30"/>
      <c r="M57" s="30"/>
      <c r="N57" s="30"/>
    </row>
    <row r="58" ht="15.75" customHeight="1">
      <c r="A58" s="29" t="str">
        <f>IF(Tracker!$A58="","",Tracker!$A58)</f>
        <v/>
      </c>
      <c r="B58" s="30"/>
      <c r="C58" s="31" t="str">
        <f t="shared" si="1"/>
        <v/>
      </c>
      <c r="D58" s="32" t="str">
        <f t="shared" si="2"/>
        <v/>
      </c>
      <c r="E58" s="34"/>
      <c r="F58" s="30"/>
      <c r="G58" s="30"/>
      <c r="H58" s="30"/>
      <c r="I58" s="30"/>
      <c r="J58" s="30"/>
      <c r="K58" s="30"/>
      <c r="L58" s="30"/>
      <c r="M58" s="30"/>
      <c r="N58" s="30"/>
    </row>
    <row r="59" ht="15.75" customHeight="1">
      <c r="A59" s="29" t="str">
        <f>IF(Tracker!$A59="","",Tracker!$A59)</f>
        <v/>
      </c>
      <c r="B59" s="30"/>
      <c r="C59" s="31" t="str">
        <f t="shared" si="1"/>
        <v/>
      </c>
      <c r="D59" s="32" t="str">
        <f t="shared" si="2"/>
        <v/>
      </c>
      <c r="E59" s="34"/>
      <c r="F59" s="30"/>
      <c r="G59" s="30"/>
      <c r="H59" s="30"/>
      <c r="I59" s="30"/>
      <c r="J59" s="30"/>
      <c r="K59" s="30"/>
      <c r="L59" s="30"/>
      <c r="M59" s="30"/>
      <c r="N59" s="30"/>
    </row>
    <row r="60" ht="15.75" customHeight="1">
      <c r="A60" s="29" t="str">
        <f>IF(Tracker!$A60="","",Tracker!$A60)</f>
        <v/>
      </c>
      <c r="B60" s="30"/>
      <c r="C60" s="31" t="str">
        <f t="shared" si="1"/>
        <v/>
      </c>
      <c r="D60" s="32" t="str">
        <f t="shared" si="2"/>
        <v/>
      </c>
      <c r="E60" s="34"/>
      <c r="F60" s="30"/>
      <c r="G60" s="30"/>
      <c r="H60" s="30"/>
      <c r="I60" s="30"/>
      <c r="J60" s="30"/>
      <c r="K60" s="30"/>
      <c r="L60" s="30"/>
      <c r="M60" s="30"/>
      <c r="N60" s="30"/>
    </row>
    <row r="61" ht="15.75" customHeight="1">
      <c r="A61" s="29" t="str">
        <f>IF(Tracker!$A61="","",Tracker!$A61)</f>
        <v/>
      </c>
      <c r="B61" s="30"/>
      <c r="C61" s="31" t="str">
        <f t="shared" si="1"/>
        <v/>
      </c>
      <c r="D61" s="32" t="str">
        <f t="shared" si="2"/>
        <v/>
      </c>
      <c r="E61" s="34"/>
      <c r="F61" s="30"/>
      <c r="G61" s="30"/>
      <c r="H61" s="30"/>
      <c r="I61" s="30"/>
      <c r="J61" s="30"/>
      <c r="K61" s="30"/>
      <c r="L61" s="30"/>
      <c r="M61" s="30"/>
      <c r="N61" s="30"/>
    </row>
    <row r="62" ht="15.75" customHeight="1">
      <c r="A62" s="29" t="str">
        <f>IF(Tracker!$A62="","",Tracker!$A62)</f>
        <v/>
      </c>
      <c r="B62" s="30"/>
      <c r="C62" s="31" t="str">
        <f t="shared" si="1"/>
        <v/>
      </c>
      <c r="D62" s="32" t="str">
        <f t="shared" si="2"/>
        <v/>
      </c>
      <c r="E62" s="34"/>
      <c r="F62" s="30"/>
      <c r="G62" s="30"/>
      <c r="H62" s="30"/>
      <c r="I62" s="30"/>
      <c r="J62" s="30"/>
      <c r="K62" s="30"/>
      <c r="L62" s="30"/>
      <c r="M62" s="30"/>
      <c r="N62" s="30"/>
    </row>
    <row r="63" ht="15.75" customHeight="1">
      <c r="A63" s="29" t="str">
        <f>IF(Tracker!$A63="","",Tracker!$A63)</f>
        <v/>
      </c>
      <c r="B63" s="30"/>
      <c r="C63" s="31" t="str">
        <f t="shared" si="1"/>
        <v/>
      </c>
      <c r="D63" s="32" t="str">
        <f t="shared" si="2"/>
        <v/>
      </c>
      <c r="E63" s="34"/>
      <c r="F63" s="30"/>
      <c r="G63" s="30"/>
      <c r="H63" s="30"/>
      <c r="I63" s="30"/>
      <c r="J63" s="30"/>
      <c r="K63" s="30"/>
      <c r="L63" s="30"/>
      <c r="M63" s="30"/>
      <c r="N63" s="3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qref="K4:K63">
      <formula1>"Shop Now,Limited Time Offer,Don't Miss This Deal,Add to Cart Today,Best Seller on Shopee"</formula1>
    </dataValidation>
    <dataValidation type="list" allowBlank="1" sqref="N4:N63">
      <formula1>"Draft,Ready,Published,Paused"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46.0"/>
    <col customWidth="1" min="3" max="3" width="12.0"/>
    <col customWidth="1" min="4" max="26" width="8.71"/>
  </cols>
  <sheetData>
    <row r="1" ht="24.0" customHeight="1">
      <c r="A1" s="1" t="s">
        <v>141</v>
      </c>
      <c r="B1" s="2"/>
      <c r="C1" s="3"/>
    </row>
    <row r="3">
      <c r="A3" s="7" t="s">
        <v>142</v>
      </c>
      <c r="B3" s="7" t="s">
        <v>143</v>
      </c>
      <c r="C3" s="7" t="s">
        <v>144</v>
      </c>
    </row>
    <row r="4">
      <c r="A4" s="38" t="s">
        <v>145</v>
      </c>
      <c r="B4" s="9" t="s">
        <v>146</v>
      </c>
      <c r="C4" s="31">
        <f>COUNTIFS(Tracker!$Y$4:$Y$63,"PASS",Tracker!$J$4:$J$63,"&gt;=10000")</f>
        <v>1</v>
      </c>
    </row>
    <row r="5">
      <c r="A5" s="38" t="s">
        <v>149</v>
      </c>
      <c r="B5" s="9" t="s">
        <v>150</v>
      </c>
      <c r="C5" s="31">
        <f>COUNTIF(Content!$M$4:$M$63,"*Trending Today*")</f>
        <v>0</v>
      </c>
    </row>
    <row r="6">
      <c r="A6" s="38" t="s">
        <v>114</v>
      </c>
      <c r="B6" s="9" t="s">
        <v>153</v>
      </c>
      <c r="C6" s="31">
        <f>COUNTIFS(Tracker!$Y$4:$Y$63,"PASS",Tracker!$D$4:$D$63,"Electronics")</f>
        <v>1</v>
      </c>
    </row>
    <row r="7">
      <c r="A7" s="38" t="s">
        <v>156</v>
      </c>
      <c r="B7" s="9" t="s">
        <v>157</v>
      </c>
      <c r="C7" s="31">
        <f>COUNTIFS(Tracker!$Y$4:$Y$63,"PASS",Tracker!$D$4:$D$63,"Home &amp; Living")</f>
        <v>0</v>
      </c>
    </row>
    <row r="8">
      <c r="A8" s="38" t="s">
        <v>160</v>
      </c>
      <c r="B8" s="9" t="s">
        <v>161</v>
      </c>
      <c r="C8" s="31">
        <f>COUNTIFS(Tracker!$Y$4:$Y$63,"PASS",Tracker!$D$4:$D$63,"Health &amp; Beauty")</f>
        <v>0</v>
      </c>
    </row>
    <row r="9">
      <c r="A9" s="38" t="s">
        <v>164</v>
      </c>
      <c r="B9" s="9" t="s">
        <v>165</v>
      </c>
      <c r="C9" s="31">
        <f>COUNTIFS(Tracker!$Y$4:$Y$63,"PASS",Tracker!$E$4:$E$63,"*Kitchen*")</f>
        <v>0</v>
      </c>
    </row>
    <row r="10">
      <c r="A10" s="38" t="s">
        <v>168</v>
      </c>
      <c r="B10" s="9" t="s">
        <v>169</v>
      </c>
      <c r="C10" s="31">
        <f>COUNTIFS(Tracker!$Y$4:$Y$63,"PASS",Tracker!$D$4:$D$63,"Pet Supplies")</f>
        <v>0</v>
      </c>
    </row>
    <row r="11">
      <c r="A11" s="38" t="s">
        <v>171</v>
      </c>
      <c r="B11" s="9" t="s">
        <v>173</v>
      </c>
      <c r="C11" s="31">
        <f>COUNTIFS(Tracker!$Y$4:$Y$63,"PASS",Tracker!$I$4:$I$63,"&gt;=0.3")</f>
        <v>1</v>
      </c>
    </row>
    <row r="12">
      <c r="A12" s="38" t="s">
        <v>176</v>
      </c>
      <c r="B12" s="9" t="s">
        <v>177</v>
      </c>
      <c r="C12" s="31">
        <f>COUNTIFS(Tracker!$Y$4:$Y$63,"PASS",Tracker!$G$4:$G$63,"&lt;=199")</f>
        <v>0</v>
      </c>
    </row>
    <row r="13">
      <c r="A13" s="38" t="s">
        <v>179</v>
      </c>
      <c r="B13" s="9" t="s">
        <v>180</v>
      </c>
      <c r="C13" s="31">
        <f>COUNTIFS(Tracker!$Y$4:$Y$63,"PASS",Tracker!$G$4:$G$63,"&gt;199",Tracker!$G$4:$G$63,"&lt;=499")</f>
        <v>1</v>
      </c>
    </row>
    <row r="14">
      <c r="A14" s="38" t="s">
        <v>184</v>
      </c>
      <c r="B14" s="9" t="s">
        <v>185</v>
      </c>
      <c r="C14" s="31">
        <f>COUNTIFS(Tracker!$Y$4:$Y$63,"PASS",Tracker!$G$4:$G$63,"&gt;999",Tracker!$AI$4:$AI$63,"&gt;=80")</f>
        <v>0</v>
      </c>
    </row>
    <row r="16">
      <c r="A16" s="4" t="s">
        <v>186</v>
      </c>
    </row>
    <row r="17">
      <c r="A17" s="4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16:C16"/>
    <mergeCell ref="A17:C17"/>
  </mergeCells>
  <printOptions/>
  <pageMargins bottom="1.0" footer="0.0" header="0.0" left="0.75" right="0.75" top="1.0"/>
  <pageSetup paperSize="9" orientation="portrait"/>
  <drawing r:id="rId1"/>
</worksheet>
</file>